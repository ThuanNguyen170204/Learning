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1" ContentType="application/binary"/>
  <Override PartName="/xl/commentsmeta0" ContentType="application/binary"/>
  <Override PartName="/xl/commentsmeta2"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sheetId="1" r:id="rId4"/>
    <sheet state="visible" name="Member List" sheetId="2" r:id="rId5"/>
    <sheet state="visible" name="Sum" sheetId="3" r:id="rId6"/>
    <sheet state="visible" name="Member 1" sheetId="4" r:id="rId7"/>
    <sheet state="visible" name="Member 2" sheetId="5" r:id="rId8"/>
    <sheet state="visible" name="Member 3" sheetId="6" r:id="rId9"/>
    <sheet state="hidden" name="Sheet 1" sheetId="7" r:id="rId10"/>
  </sheets>
  <definedNames/>
  <calcPr/>
  <extLst>
    <ext uri="GoogleSheetsCustomDataVersion2">
      <go:sheetsCustomData xmlns:go="http://customooxmlschemas.google.com/" r:id="rId11" roundtripDataChecksum="3dwNypwZIsVJbT9t7fLztuNL9xXdNhE2uRMsQoWlyR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ID#AAABVTKFypk
Hong Phan    (2024-09-14 07:27:48)
Đánh giá chính bản thân mình</t>
      </text>
    </comment>
  </commentList>
  <extLst>
    <ext uri="GoogleSheetsCustomDataVersion2">
      <go:sheetsCustomData xmlns:go="http://customooxmlschemas.google.com/" r:id="rId1" roundtripDataSignature="AMtx7mhBpJODaSGmrDhGUq6D/1wcUD89d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ID#AAABVTKFypw
Hong Phan    (2024-09-14 07:27:48)
Đánh giá chính bản thân mình</t>
      </text>
    </comment>
  </commentList>
  <extLst>
    <ext uri="GoogleSheetsCustomDataVersion2">
      <go:sheetsCustomData xmlns:go="http://customooxmlschemas.google.com/" r:id="rId1" roundtripDataSignature="AMtx7mj4OnJgWssGYEB2c+fGBZ4B9cKWj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ID#AAABVTKFyps
Hong Phan    (2024-09-14 07:27:48)
Đánh giá chính bản thân mình</t>
      </text>
    </comment>
  </commentList>
  <extLst>
    <ext uri="GoogleSheetsCustomDataVersion2">
      <go:sheetsCustomData xmlns:go="http://customooxmlschemas.google.com/" r:id="rId1" roundtripDataSignature="AMtx7miTmhMWzeyknMGh274vSj5/xp8iKw=="/>
    </ext>
  </extLst>
</comments>
</file>

<file path=xl/sharedStrings.xml><?xml version="1.0" encoding="utf-8"?>
<sst xmlns="http://schemas.openxmlformats.org/spreadsheetml/2006/main" count="272" uniqueCount="76">
  <si>
    <t>Vui lòng đọc kỹ và làm theo đúng thứ tự các bước hướng dẫn dưới đây:</t>
  </si>
  <si>
    <t xml:space="preserve">1. </t>
  </si>
  <si>
    <t>Điền mã sinh viên và tên các thành viên của nhóm vào sheet 'Member List'.</t>
  </si>
  <si>
    <t xml:space="preserve">2. </t>
  </si>
  <si>
    <r>
      <rPr>
        <rFont val="Arial"/>
        <color theme="1"/>
        <sz val="11.0"/>
      </rPr>
      <t xml:space="preserve">Mỗi thành viên </t>
    </r>
    <r>
      <rPr>
        <rFont val="Arial"/>
        <i/>
        <color theme="1"/>
        <sz val="11.0"/>
      </rPr>
      <t>(theo thứ tự đã sắp xếp trong sheet 'Member List')</t>
    </r>
    <r>
      <rPr>
        <rFont val="Arial"/>
        <color theme="1"/>
        <sz val="11.0"/>
      </rPr>
      <t xml:space="preserve"> lựa chọn sheet 'Member #' phù hợp để đánh giá </t>
    </r>
    <r>
      <rPr>
        <rFont val="Arial"/>
        <b/>
        <color theme="1"/>
        <sz val="11.0"/>
      </rPr>
      <t>chính bản thân mình và các thành viên khác trong nhóm</t>
    </r>
    <r>
      <rPr>
        <rFont val="Arial"/>
        <color theme="1"/>
        <sz val="11.0"/>
      </rPr>
      <t>.</t>
    </r>
  </si>
  <si>
    <t xml:space="preserve">3. </t>
  </si>
  <si>
    <t>Điền Ngày đánh giá</t>
  </si>
  <si>
    <t>Lựa chọn giá trị phù hợp cho từng tiêu chí đánh giá bằng cách tham khảo bảng được cung cấp ở bên dưới.</t>
  </si>
  <si>
    <t>Đổi sheet name 'Member #' thành Tên Họ của người đánh giá (Ví dụ: An Nguyễn)</t>
  </si>
  <si>
    <t xml:space="preserve">4. </t>
  </si>
  <si>
    <t>Lưu file lại theo quy định đặt tên đã quy định trong file mô tả đồ án nhóm.</t>
  </si>
  <si>
    <t>TEAM MEMBER LIST</t>
  </si>
  <si>
    <t xml:space="preserve">Team: </t>
  </si>
  <si>
    <t>No.</t>
  </si>
  <si>
    <t>Student ID</t>
  </si>
  <si>
    <t>Student Name</t>
  </si>
  <si>
    <t>Nguyễn Minh Thuận</t>
  </si>
  <si>
    <t>Lương Nhật Quang</t>
  </si>
  <si>
    <t>Trần Quý Huy</t>
  </si>
  <si>
    <t>BẢNG TỔNG HỢP ĐÁNH GIÁ KHẢ NĂNG LÀM VIỆC NHÓM CỦA MỖI THÀNH VIÊN</t>
  </si>
  <si>
    <t>TEAM MEMBER EVALUATION CONSOLIDATION FORM</t>
  </si>
  <si>
    <t>Average Grade by Team</t>
  </si>
  <si>
    <t>Comment</t>
  </si>
  <si>
    <t>RUBRIC ĐÁNH GIÁ KHẢ NĂNG CỦA TỪNG THÀNH VIÊN THAM GIA HIỆU QUẢ VÀO HOẠT ĐỘNG NHÓM</t>
  </si>
  <si>
    <t>Ngày</t>
  </si>
  <si>
    <t>&lt;Evaluation Date&gt;</t>
  </si>
  <si>
    <t>STT</t>
  </si>
  <si>
    <t>Người được đánh giá</t>
  </si>
  <si>
    <t>Tổng điểm</t>
  </si>
  <si>
    <t>Tiêu chí đánh giá</t>
  </si>
  <si>
    <t>Kỹ năng lắng nghe</t>
  </si>
  <si>
    <t>Cởi mở với những quan điểm khác biệt</t>
  </si>
  <si>
    <t>Tính chủ động &amp; trách nhiệm</t>
  </si>
  <si>
    <t>Đóng góp</t>
  </si>
  <si>
    <t>Theo dõi và kiểm soát tiến độ cùng kết quả công việc</t>
  </si>
  <si>
    <t>Khả năng lãnh đạo</t>
  </si>
  <si>
    <t>Xuất sắc</t>
  </si>
  <si>
    <t>Tiêu chí</t>
  </si>
  <si>
    <t>Tốt</t>
  </si>
  <si>
    <t>Khá</t>
  </si>
  <si>
    <t>Cần cải thiện</t>
  </si>
  <si>
    <t>Không thể chấp nhận</t>
  </si>
  <si>
    <t>Hoàn toàn không chấp nhận</t>
  </si>
  <si>
    <t>Luôn luôn lắng nghe hết những gì người khác nói trước khi trả lời và luôn nói với thái độ trầm tĩnh; hiếm khi cắt ngang lời nói của người khác; thường xuyên mời người khác đóng góp ý kiến; duy trì sự giao tiếp bằng mắt.</t>
  </si>
  <si>
    <t>Thường xuyên lắng nghe những gì người khác nói trước khi trả lời, nói với mức độ vừa phải và thái độ trầm tĩnh; luôn mời người khác đóng góp ý kiến; tạo sự giao tiếp bằng mắt.</t>
  </si>
  <si>
    <t>Thỉnh thoảng lắng nghe những gì người khác nói trước khi trả lời; Đôi khi cắt ngang lời nói của người khác; đôi khi mời gọi ý kiến đóng góp của người khác; thỉnh thoảng tạo sự giao tiếp bằng mắt.</t>
  </si>
  <si>
    <t>Ít khi chịu lắng nghe những gì người khác nói trước khi trả lời; Thường xuyên cắt ngang lời nói của người khác; hiếm khi mời gọi ý kiến đóng góp của người khác; không tạo sự giao tiếp bằng mắt; Đôi khi làm việc riêng hoặc trò chuyện với người khác trong khi một thành viên trong nhóm đang trình bày.</t>
  </si>
  <si>
    <t>Không lắng nghe những gì người khác nói khi trả lời; Thường xuyên cắt ngang lời nói của người khác; Không mời gọi ý kiến đóng góp của người khác; Không tập trung và thường xuyên làm việc riêng hoặc trò chuyện với người khác trong khi một thành viên trong nhóm đang trình bày</t>
  </si>
  <si>
    <t>Không bao giờ có mặt và không có bất kỳ đóng góp nào cho nhóm.</t>
  </si>
  <si>
    <t>Lắng nghe ý kiến của người khác mà không ngắt ngang; Phản ứng tích cực ngay cả khi không chấp nhận ý kiến người khác; Đặt câu hỏi cho những ý kiến đưa ra.</t>
  </si>
  <si>
    <t>Lắng nghe ý kiến của người khác mà không ngắt ngang; Phản ứng tích cực ngay cả khi không chấp nhận ý kiến người khác.</t>
  </si>
  <si>
    <t>Đôi khi lắng nghe ý kiến của người khác mà không ngắt ngang; Có hồi đáp lại những ý kiến của người khác.</t>
  </si>
  <si>
    <t>Ngắt ngang ý kiến của người khác; Không nhận xét hoặc hồi đáp lại những ý kiến của người khác</t>
  </si>
  <si>
    <t>Ngắt ngang ý kiến của người khác; Đưa ra nhận xét chê bai và/hoặc thể hiện cử chỉ phản đối/xem thường ý kiến của người khác</t>
  </si>
  <si>
    <t>Tính chủ động và trách nhiệm</t>
  </si>
  <si>
    <t>Luôn luôn hoàn thành công việc được giao trước/đúng thời hạn đặt ra; Thường xuyên đến các buổi làm việc nhóm với những tài liệu cần thiết; Chủ động làm thêm những nghiên cứu, đọc, viết, thiết kế, thực hiện bổ sung so với yêu cầu đưa ra.</t>
  </si>
  <si>
    <t>Luôn chủ động hoàn thành mọi công việc được giao đúng hạn mà không phải đợi nhắc nhở. Thường xuyên tham gia các buổi làm việc nhóm với những tài liệu cần thiết.</t>
  </si>
  <si>
    <t>Hoàn thành công việc được giao đúng thời hạn mà ít khi đợi nhắc nhở; Thỉnh thoảng tham gia các buổi làm việc nhóm với đầy đủ những tài liệu cần thiết.</t>
  </si>
  <si>
    <t>Ít khi chủ động làm những công việc được phân công; thường xuyên phải đợi nhắc nhở. Ít khi tham gia các buổi làm việc nhóm mà có sự chuẩn bị những tài liệu cần thiết.</t>
  </si>
  <si>
    <t xml:space="preserve">Thụ động trong công việc, phải dựa dẫm vào người khác để làm việc. Thường xuyên không có sự chuẩn bị những tài liệu cần thiết khi tham gia các buổi làm việc nhóm. </t>
  </si>
  <si>
    <t>Không bao giờ có mặt và không có bất kỳ đóng góp nào cho nhóm</t>
  </si>
  <si>
    <t>Luôn tích cực tham dự các buổi họp trao đổi liên quan đến dự án và nỗ lực đóng góp nhiều sáng kiến/ý tưởng cho công việc chung của nhóm; Chất lượng công việc luôn trên mức mong đợi.</t>
  </si>
  <si>
    <t>Thường xuyên tham dự các buổi họp trao đổi liên quan đến dự án và đưa ra các ý kiến đề xuất cho công việc chung của nhóm; Chất lượng công việc trên mức mong đợi.</t>
  </si>
  <si>
    <t>Tham dự các buổi họp trao đổi liên quan đến dự án và đôi khi đưa ra các ý kiến đề xuất cho công việc chung của nhóm; Chất lượng công việc ở mức chấp nhận được.</t>
  </si>
  <si>
    <t>Không thường xuyên tham dự các buổi họp trao đổi liên quan đến dự án, lắng nghe những người khác và đôi khi đưa ra các ý kiến đề xuất, đóng góp cho công việc chung của nhóm; Chất lượng công việc không ổn định.</t>
  </si>
  <si>
    <t>Hiếm khi đóng góp cho nhóm; Các đóng góp thường là không liên quan; Thường xuyên bỏ lỡ các buổi làm việc nhóm.</t>
  </si>
  <si>
    <t>Luôn luôn trao đổi và chia sẻ mọi thông tin tìm hiểu được với nhóm. Minh bạch mọi thông tin về tiến độ và kết quả công việc để tất cả mọi thành viên đều nắm rõ và dễ dàng theo dõi bằng cách thường xuyên cập nhật kết quả công việc được giao lên nơi lưu trữ tài liệu chung của nhóm.</t>
  </si>
  <si>
    <t>Có trao đổi trong nhóm về nội dung, tiến độ công việc nhưng không thường xuyên cập nhật lên nơi lưu trữ chung để tất cả mọi thành viên đều dễ dàng theo dõi.</t>
  </si>
  <si>
    <t>Có trao đổi trong nhóm về nội dung, tiến độ công việc nhưng luôn đợi nhắc nhở mới cập nhật tiến độ và kết quả công việc lên nơi lưu trữ chung để tất cả mọi thành viên đều dễ dàng theo dõi.</t>
  </si>
  <si>
    <t>Hiếm khi trao đổi, chia sẻ trong nhóm về nội dung, tiến độ công việc và cũng không ghi nhận minh bạch, rõ ràng để tất cả mọi thành viên đều dễ dàng theo dõi.</t>
  </si>
  <si>
    <t>Không theo dõi tiến độ và báo cáo công việc. Gần đến hạn nộp mới bắt đầu làm việc.</t>
  </si>
  <si>
    <t>Luôn tìm kiếm cơ hội để dẫn dắt nhóm; lắng nghe tâm tư của từng thành viên; Bày tỏ kết quả mong đợi cho từng buổi làm việc và mỗi dự án; Giữ nhóm luôn theo đúng tiến độ; Tạo nền tảng cộng tác và tích hợp các nỗ lực cá nhân.</t>
  </si>
  <si>
    <t>Có mong muốn dẫn dắt nhóm; lắng nghe tâm tư của từng thành viên; Trình bày hướng đi chung cho từng buổi làm việc và mỗi dự án; Giữ nhóm luôn theo đúng tiến độ.</t>
  </si>
  <si>
    <t>Dẫn dắt nhóm trong trường hợp được yêu cầu; Không giỏi trong việc quan tâm sâu sát đến từng thành viên; Đôi khi đưa ra hướng đi cho các buổi làm việc nhóm; Gặp một vài rắc rối trong việc giữ nhóm luôn theo kịp tiến độ.</t>
  </si>
  <si>
    <t>Miễn cưỡng đảm nhiệm vai trò dẫn dắt nhóm; Cho phép sự đóng góp không đồng đều giữa các thành viên; Không có một ý niệm rõ ràng về kết quả mong đợi hoặc hướng đi; Không lên kế hoạch cho các buổi làm việc nhóm hoặc dự án.</t>
  </si>
  <si>
    <t>Có thể tình nguyện đảm nhiệm vai trò dẫn dắt nhóm nhưng không theo dõi công việc; Không hình dung ra kết quả mong đợi hoặc hướng đi cho các buổi làm việc nhóm hoặc dự án, khiến cho các thành viên trở nên thờ ơ và thiếu trách nhiệm với công việc chung.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</si>
</sst>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1010000]d/m/yyyy"/>
    <numFmt numFmtId="166" formatCode="[$-1010000]d/m/yy"/>
  </numFmts>
  <fonts count="11">
    <font>
      <sz val="11.0"/>
      <color theme="1"/>
      <name val="Calibri"/>
      <scheme val="minor"/>
    </font>
    <font>
      <sz val="11.0"/>
      <color theme="1"/>
      <name val="Arial"/>
    </font>
    <font>
      <b/>
      <sz val="11.0"/>
      <color theme="1"/>
      <name val="Arial"/>
    </font>
    <font/>
    <font>
      <b/>
      <sz val="20.0"/>
      <color rgb="FFC00000"/>
      <name val="Arial"/>
    </font>
    <font>
      <i/>
      <sz val="11.0"/>
      <color theme="1"/>
      <name val="Arial"/>
    </font>
    <font>
      <b/>
      <sz val="16.0"/>
      <color rgb="FFC00000"/>
      <name val="Arial"/>
    </font>
    <font>
      <b/>
      <sz val="18.0"/>
      <color rgb="FFC00000"/>
      <name val="Arial"/>
    </font>
    <font>
      <b/>
      <sz val="11.0"/>
      <color rgb="FF262626"/>
      <name val="Arial"/>
    </font>
    <font>
      <color theme="1"/>
      <name val="Calibri"/>
      <scheme val="minor"/>
    </font>
    <font>
      <sz val="11.0"/>
      <color theme="1"/>
      <name val="Calibri"/>
    </font>
  </fonts>
  <fills count="7">
    <fill>
      <patternFill patternType="none"/>
    </fill>
    <fill>
      <patternFill patternType="lightGray"/>
    </fill>
    <fill>
      <patternFill patternType="solid">
        <fgColor rgb="FFFFE598"/>
        <bgColor rgb="FFFFE598"/>
      </patternFill>
    </fill>
    <fill>
      <patternFill patternType="solid">
        <fgColor rgb="FFBDD6EE"/>
        <bgColor rgb="FFBDD6EE"/>
      </patternFill>
    </fill>
    <fill>
      <patternFill patternType="solid">
        <fgColor rgb="FFCCFFCC"/>
        <bgColor rgb="FFCCFFCC"/>
      </patternFill>
    </fill>
    <fill>
      <patternFill patternType="solid">
        <fgColor rgb="FF9CC2E5"/>
        <bgColor rgb="FF9CC2E5"/>
      </patternFill>
    </fill>
    <fill>
      <patternFill patternType="solid">
        <fgColor rgb="FFFBE4D5"/>
        <bgColor rgb="FFFBE4D5"/>
      </patternFill>
    </fill>
  </fills>
  <borders count="24">
    <border/>
    <border>
      <left/>
      <top/>
      <bottom style="thin">
        <color rgb="FF000000"/>
      </bottom>
    </border>
    <border>
      <right/>
      <top/>
      <bottom style="thin">
        <color rgb="FF000000"/>
      </bottom>
    </border>
    <border>
      <bottom style="thin">
        <color rgb="FF000000"/>
      </bottom>
    </border>
    <border>
      <top style="thin">
        <color rgb="FF000000"/>
      </top>
      <bottom style="thin">
        <color rgb="FF000000"/>
      </bottom>
    </border>
    <border>
      <top style="thin">
        <color rgb="FF000000"/>
      </top>
    </border>
    <border>
      <left/>
      <top/>
      <bottom/>
    </border>
    <border>
      <top/>
      <bottom/>
    </border>
    <border>
      <right/>
      <top/>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left" vertical="center"/>
    </xf>
    <xf borderId="2" fillId="0" fontId="3" numFmtId="0" xfId="0" applyBorder="1" applyFont="1"/>
    <xf quotePrefix="1" borderId="3" fillId="0" fontId="2" numFmtId="0" xfId="0" applyAlignment="1" applyBorder="1" applyFont="1">
      <alignment horizontal="right" vertical="top"/>
    </xf>
    <xf borderId="3" fillId="0" fontId="1" numFmtId="0" xfId="0" applyAlignment="1" applyBorder="1" applyFont="1">
      <alignment shrinkToFit="0" vertical="top" wrapText="1"/>
    </xf>
    <xf borderId="4" fillId="0" fontId="1" numFmtId="0" xfId="0" applyAlignment="1" applyBorder="1" applyFont="1">
      <alignment shrinkToFit="0" vertical="center" wrapText="1"/>
    </xf>
    <xf quotePrefix="1" borderId="5" fillId="0" fontId="2" numFmtId="0" xfId="0" applyAlignment="1" applyBorder="1" applyFont="1">
      <alignment horizontal="right" vertical="top"/>
    </xf>
    <xf borderId="0" fillId="0" fontId="1" numFmtId="0" xfId="0" applyAlignment="1" applyFont="1">
      <alignment horizontal="left" vertical="center"/>
    </xf>
    <xf borderId="3" fillId="0" fontId="3" numFmtId="0" xfId="0" applyBorder="1" applyFont="1"/>
    <xf borderId="3" fillId="0" fontId="1" numFmtId="0" xfId="0" applyAlignment="1" applyBorder="1" applyFont="1">
      <alignment horizontal="left" vertical="center"/>
    </xf>
    <xf borderId="4" fillId="0" fontId="1" numFmtId="0" xfId="0" applyAlignment="1" applyBorder="1" applyFont="1">
      <alignment horizontal="left" shrinkToFit="0" vertical="top" wrapText="1"/>
    </xf>
    <xf borderId="6" fillId="3" fontId="4" numFmtId="0" xfId="0" applyAlignment="1" applyBorder="1" applyFill="1" applyFont="1">
      <alignment horizontal="center" vertical="center"/>
    </xf>
    <xf borderId="7" fillId="0" fontId="3" numFmtId="0" xfId="0" applyBorder="1" applyFont="1"/>
    <xf borderId="8" fillId="0" fontId="3" numFmtId="0" xfId="0" applyBorder="1" applyFont="1"/>
    <xf borderId="9" fillId="4" fontId="2" numFmtId="0" xfId="0" applyAlignment="1" applyBorder="1" applyFill="1" applyFont="1">
      <alignment horizontal="right" vertical="center"/>
    </xf>
    <xf borderId="10" fillId="0" fontId="5" numFmtId="0" xfId="0" applyAlignment="1" applyBorder="1" applyFont="1">
      <alignment horizontal="left" readingOrder="0" vertical="center"/>
    </xf>
    <xf borderId="11" fillId="0" fontId="3" numFmtId="0" xfId="0" applyBorder="1" applyFont="1"/>
    <xf borderId="12" fillId="2" fontId="2" numFmtId="0" xfId="0" applyAlignment="1" applyBorder="1" applyFont="1">
      <alignment horizontal="center" vertical="center"/>
    </xf>
    <xf borderId="13" fillId="0" fontId="1" numFmtId="0" xfId="0" applyAlignment="1" applyBorder="1" applyFont="1">
      <alignment horizontal="center" vertical="center"/>
    </xf>
    <xf borderId="13" fillId="0" fontId="1" numFmtId="0" xfId="0" applyAlignment="1" applyBorder="1" applyFont="1">
      <alignment horizontal="center" readingOrder="0" vertical="center"/>
    </xf>
    <xf borderId="13" fillId="0" fontId="1" numFmtId="49" xfId="0" applyAlignment="1" applyBorder="1" applyFont="1" applyNumberFormat="1">
      <alignment readingOrder="0" vertical="center"/>
    </xf>
    <xf borderId="12" fillId="0" fontId="1" numFmtId="0" xfId="0" applyAlignment="1" applyBorder="1" applyFont="1">
      <alignment horizontal="center" vertical="center"/>
    </xf>
    <xf borderId="12" fillId="0" fontId="1" numFmtId="0" xfId="0" applyAlignment="1" applyBorder="1" applyFont="1">
      <alignment horizontal="center" readingOrder="0" vertical="center"/>
    </xf>
    <xf borderId="12" fillId="0" fontId="1" numFmtId="49" xfId="0" applyAlignment="1" applyBorder="1" applyFont="1" applyNumberFormat="1">
      <alignment readingOrder="0" vertical="center"/>
    </xf>
    <xf borderId="6" fillId="3" fontId="6" numFmtId="0" xfId="0" applyAlignment="1" applyBorder="1" applyFont="1">
      <alignment horizontal="center" vertical="center"/>
    </xf>
    <xf borderId="14" fillId="5" fontId="4" numFmtId="0" xfId="0" applyAlignment="1" applyBorder="1" applyFill="1" applyFont="1">
      <alignment horizontal="center" vertical="center"/>
    </xf>
    <xf borderId="15" fillId="0" fontId="3" numFmtId="0" xfId="0" applyBorder="1" applyFont="1"/>
    <xf borderId="16" fillId="0" fontId="3" numFmtId="0" xfId="0" applyBorder="1" applyFont="1"/>
    <xf borderId="0" fillId="0" fontId="1" numFmtId="0" xfId="0" applyAlignment="1" applyFont="1">
      <alignment horizontal="center" vertical="center"/>
    </xf>
    <xf borderId="12" fillId="2" fontId="2" numFmtId="0" xfId="0" applyAlignment="1" applyBorder="1" applyFont="1">
      <alignment horizontal="center" shrinkToFit="0" vertical="center" wrapText="1"/>
    </xf>
    <xf borderId="12" fillId="0" fontId="1" numFmtId="49" xfId="0" applyAlignment="1" applyBorder="1" applyFont="1" applyNumberFormat="1">
      <alignment horizontal="center" vertical="center"/>
    </xf>
    <xf borderId="12" fillId="0" fontId="1" numFmtId="49" xfId="0" applyAlignment="1" applyBorder="1" applyFont="1" applyNumberFormat="1">
      <alignment vertical="center"/>
    </xf>
    <xf borderId="12" fillId="0" fontId="1" numFmtId="164" xfId="0" applyAlignment="1" applyBorder="1" applyFont="1" applyNumberFormat="1">
      <alignment vertical="center"/>
    </xf>
    <xf borderId="12" fillId="0" fontId="1" numFmtId="0" xfId="0" applyAlignment="1" applyBorder="1" applyFont="1">
      <alignment vertical="center"/>
    </xf>
    <xf borderId="6" fillId="3" fontId="7" numFmtId="0" xfId="0" applyAlignment="1" applyBorder="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right" shrinkToFit="0" vertical="center" wrapText="1"/>
    </xf>
    <xf borderId="3" fillId="0" fontId="5" numFmtId="165" xfId="0" applyAlignment="1" applyBorder="1" applyFont="1" applyNumberFormat="1">
      <alignment horizontal="left" shrinkToFit="0" vertical="center" wrapText="1"/>
    </xf>
    <xf borderId="0" fillId="0" fontId="5" numFmtId="0" xfId="0" applyAlignment="1" applyFont="1">
      <alignment shrinkToFit="0" vertical="center" wrapText="1"/>
    </xf>
    <xf borderId="0" fillId="0" fontId="5" numFmtId="165" xfId="0" applyAlignment="1" applyFont="1" applyNumberFormat="1">
      <alignment horizontal="left" shrinkToFit="0" vertical="center" wrapText="1"/>
    </xf>
    <xf borderId="0" fillId="0" fontId="2" numFmtId="0" xfId="0" applyAlignment="1" applyFont="1">
      <alignment shrinkToFit="0" vertical="center" wrapText="1"/>
    </xf>
    <xf borderId="0" fillId="0" fontId="2" numFmtId="166" xfId="0" applyAlignment="1" applyFont="1" applyNumberFormat="1">
      <alignment shrinkToFit="0" vertical="center" wrapText="1"/>
    </xf>
    <xf borderId="17" fillId="2" fontId="8" numFmtId="0" xfId="0" applyAlignment="1" applyBorder="1" applyFont="1">
      <alignment horizontal="center" shrinkToFit="0" vertical="center" wrapText="1"/>
    </xf>
    <xf borderId="18" fillId="2" fontId="8" numFmtId="0" xfId="0" applyAlignment="1" applyBorder="1" applyFont="1">
      <alignment horizontal="center" shrinkToFit="0" vertical="center" wrapText="1"/>
    </xf>
    <xf borderId="19" fillId="0" fontId="3" numFmtId="0" xfId="0" applyBorder="1" applyFont="1"/>
    <xf borderId="20" fillId="2" fontId="2" numFmtId="0" xfId="0" applyAlignment="1" applyBorder="1" applyFont="1">
      <alignment horizontal="center" shrinkToFit="0" vertical="center" wrapText="1"/>
    </xf>
    <xf borderId="4" fillId="0" fontId="3" numFmtId="0" xfId="0" applyBorder="1" applyFont="1"/>
    <xf borderId="21" fillId="0" fontId="3" numFmtId="0" xfId="0" applyBorder="1" applyFont="1"/>
    <xf borderId="13" fillId="0" fontId="3" numFmtId="0" xfId="0" applyBorder="1" applyFont="1"/>
    <xf borderId="22" fillId="0" fontId="3" numFmtId="0" xfId="0" applyBorder="1" applyFont="1"/>
    <xf borderId="23" fillId="0" fontId="3" numFmtId="0" xfId="0" applyBorder="1" applyFont="1"/>
    <xf borderId="12" fillId="2" fontId="8" numFmtId="0" xfId="0" applyAlignment="1" applyBorder="1" applyFont="1">
      <alignment horizontal="center" shrinkToFit="0" vertical="center" wrapText="1"/>
    </xf>
    <xf borderId="0" fillId="0" fontId="1" numFmtId="0" xfId="0" applyAlignment="1" applyFont="1">
      <alignment horizontal="center" shrinkToFit="0" vertical="center" wrapText="1"/>
    </xf>
    <xf borderId="12" fillId="6" fontId="1" numFmtId="0" xfId="0" applyAlignment="1" applyBorder="1" applyFill="1" applyFont="1">
      <alignment horizontal="center" shrinkToFit="0" vertical="center" wrapText="1"/>
    </xf>
    <xf borderId="20" fillId="6" fontId="1" numFmtId="49" xfId="0" applyAlignment="1" applyBorder="1" applyFont="1" applyNumberFormat="1">
      <alignment horizontal="left" shrinkToFit="0" vertical="center" wrapText="1"/>
    </xf>
    <xf borderId="12" fillId="6" fontId="1" numFmtId="164" xfId="0" applyAlignment="1" applyBorder="1" applyFont="1" applyNumberFormat="1">
      <alignment shrinkToFit="0" vertical="center" wrapText="1"/>
    </xf>
    <xf borderId="12" fillId="6" fontId="1" numFmtId="0" xfId="0" applyAlignment="1" applyBorder="1" applyFont="1">
      <alignment readingOrder="0" shrinkToFit="0" vertical="center" wrapText="1"/>
    </xf>
    <xf borderId="12" fillId="0" fontId="1" numFmtId="0" xfId="0" applyAlignment="1" applyBorder="1" applyFont="1">
      <alignment horizontal="center" shrinkToFit="0" vertical="center" wrapText="1"/>
    </xf>
    <xf borderId="20" fillId="0" fontId="1" numFmtId="49" xfId="0" applyAlignment="1" applyBorder="1" applyFont="1" applyNumberFormat="1">
      <alignment horizontal="left" shrinkToFit="0" vertical="center" wrapText="1"/>
    </xf>
    <xf borderId="12" fillId="0" fontId="1" numFmtId="164" xfId="0" applyAlignment="1" applyBorder="1" applyFont="1" applyNumberFormat="1">
      <alignment shrinkToFit="0" vertical="center" wrapText="1"/>
    </xf>
    <xf borderId="12" fillId="0" fontId="1" numFmtId="0" xfId="0" applyAlignment="1" applyBorder="1" applyFont="1">
      <alignment readingOrder="0" shrinkToFit="0" vertical="center" wrapText="1"/>
    </xf>
    <xf borderId="0" fillId="0" fontId="1" numFmtId="9" xfId="0" applyAlignment="1" applyFont="1" applyNumberFormat="1">
      <alignment shrinkToFit="0" vertical="center" wrapText="1"/>
    </xf>
    <xf borderId="20" fillId="5" fontId="8" numFmtId="0" xfId="0" applyAlignment="1" applyBorder="1" applyFont="1">
      <alignment horizontal="center" shrinkToFit="0" vertical="center" wrapText="1"/>
    </xf>
    <xf borderId="12" fillId="5" fontId="8" numFmtId="0" xfId="0" applyAlignment="1" applyBorder="1" applyFont="1">
      <alignment horizontal="center" shrinkToFit="0" vertical="center" wrapText="1"/>
    </xf>
    <xf borderId="20" fillId="0" fontId="2" numFmtId="0" xfId="0" applyAlignment="1" applyBorder="1" applyFont="1">
      <alignment horizontal="center" shrinkToFit="0" vertical="center" wrapText="1"/>
    </xf>
    <xf borderId="20" fillId="0" fontId="1" numFmtId="0" xfId="0" applyAlignment="1" applyBorder="1" applyFont="1">
      <alignment horizontal="left" shrinkToFit="0" vertical="top" wrapText="1"/>
    </xf>
    <xf borderId="12" fillId="0" fontId="1" numFmtId="0" xfId="0" applyAlignment="1" applyBorder="1" applyFont="1">
      <alignment shrinkToFit="0" vertical="top" wrapText="1"/>
    </xf>
    <xf borderId="0" fillId="0" fontId="9" numFmtId="0" xfId="0" applyFont="1"/>
    <xf borderId="0" fillId="0" fontId="10" numFmtId="9"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11" Type="http://customschemas.google.com/relationships/workbookmetadata" Target="metadata"/><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5.43"/>
    <col customWidth="1" min="2" max="2" width="143.57"/>
    <col customWidth="1" min="3" max="6" width="9.14"/>
    <col customWidth="1" min="7" max="26" width="8.71"/>
  </cols>
  <sheetData>
    <row r="1" ht="18.75" customHeight="1">
      <c r="A1" s="1"/>
      <c r="B1" s="1"/>
      <c r="C1" s="1"/>
      <c r="D1" s="1"/>
      <c r="E1" s="1"/>
      <c r="F1" s="1"/>
      <c r="G1" s="1"/>
      <c r="H1" s="1"/>
      <c r="I1" s="1"/>
      <c r="J1" s="1"/>
      <c r="K1" s="1"/>
      <c r="L1" s="1"/>
      <c r="M1" s="1"/>
      <c r="N1" s="1"/>
      <c r="O1" s="1"/>
      <c r="P1" s="1"/>
      <c r="Q1" s="1"/>
      <c r="R1" s="1"/>
      <c r="S1" s="1"/>
      <c r="T1" s="1"/>
      <c r="U1" s="1"/>
      <c r="V1" s="1"/>
      <c r="W1" s="1"/>
      <c r="X1" s="1"/>
      <c r="Y1" s="1"/>
      <c r="Z1" s="1"/>
    </row>
    <row r="2" ht="18.75" customHeight="1">
      <c r="A2" s="2" t="s">
        <v>0</v>
      </c>
      <c r="B2" s="3"/>
      <c r="C2" s="1"/>
      <c r="D2" s="1"/>
      <c r="E2" s="1"/>
      <c r="F2" s="1"/>
      <c r="G2" s="1"/>
      <c r="H2" s="1"/>
      <c r="I2" s="1"/>
      <c r="J2" s="1"/>
      <c r="K2" s="1"/>
      <c r="L2" s="1"/>
      <c r="M2" s="1"/>
      <c r="N2" s="1"/>
      <c r="O2" s="1"/>
      <c r="P2" s="1"/>
      <c r="Q2" s="1"/>
      <c r="R2" s="1"/>
      <c r="S2" s="1"/>
      <c r="T2" s="1"/>
      <c r="U2" s="1"/>
      <c r="V2" s="1"/>
      <c r="W2" s="1"/>
      <c r="X2" s="1"/>
      <c r="Y2" s="1"/>
      <c r="Z2" s="1"/>
    </row>
    <row r="3" ht="18.75" customHeight="1">
      <c r="A3" s="4" t="s">
        <v>1</v>
      </c>
      <c r="B3" s="5" t="s">
        <v>2</v>
      </c>
      <c r="C3" s="1"/>
      <c r="D3" s="1"/>
      <c r="E3" s="1"/>
      <c r="F3" s="1"/>
      <c r="G3" s="1"/>
      <c r="H3" s="1"/>
      <c r="I3" s="1"/>
      <c r="J3" s="1"/>
      <c r="K3" s="1"/>
      <c r="L3" s="1"/>
      <c r="M3" s="1"/>
      <c r="N3" s="1"/>
      <c r="O3" s="1"/>
      <c r="P3" s="1"/>
      <c r="Q3" s="1"/>
      <c r="R3" s="1"/>
      <c r="S3" s="1"/>
      <c r="T3" s="1"/>
      <c r="U3" s="1"/>
      <c r="V3" s="1"/>
      <c r="W3" s="1"/>
      <c r="X3" s="1"/>
      <c r="Y3" s="1"/>
      <c r="Z3" s="1"/>
    </row>
    <row r="4" ht="34.5" customHeight="1">
      <c r="A4" s="4" t="s">
        <v>3</v>
      </c>
      <c r="B4" s="6" t="s">
        <v>4</v>
      </c>
      <c r="C4" s="1"/>
      <c r="D4" s="1"/>
      <c r="E4" s="1"/>
      <c r="F4" s="1"/>
      <c r="G4" s="1"/>
      <c r="H4" s="1"/>
      <c r="I4" s="1"/>
      <c r="J4" s="1"/>
      <c r="K4" s="1"/>
      <c r="L4" s="1"/>
      <c r="M4" s="1"/>
      <c r="N4" s="1"/>
      <c r="O4" s="1"/>
      <c r="P4" s="1"/>
      <c r="Q4" s="1"/>
      <c r="R4" s="1"/>
      <c r="S4" s="1"/>
      <c r="T4" s="1"/>
      <c r="U4" s="1"/>
      <c r="V4" s="1"/>
      <c r="W4" s="1"/>
      <c r="X4" s="1"/>
      <c r="Y4" s="1"/>
      <c r="Z4" s="1"/>
    </row>
    <row r="5" ht="20.25" customHeight="1">
      <c r="A5" s="7" t="s">
        <v>5</v>
      </c>
      <c r="B5" s="8" t="s">
        <v>6</v>
      </c>
      <c r="C5" s="1"/>
      <c r="D5" s="1"/>
      <c r="E5" s="1"/>
      <c r="F5" s="1"/>
      <c r="G5" s="1"/>
      <c r="H5" s="1"/>
      <c r="I5" s="1"/>
      <c r="J5" s="1"/>
      <c r="K5" s="1"/>
      <c r="L5" s="1"/>
      <c r="M5" s="1"/>
      <c r="N5" s="1"/>
      <c r="O5" s="1"/>
      <c r="P5" s="1"/>
      <c r="Q5" s="1"/>
      <c r="R5" s="1"/>
      <c r="S5" s="1"/>
      <c r="T5" s="1"/>
      <c r="U5" s="1"/>
      <c r="V5" s="1"/>
      <c r="W5" s="1"/>
      <c r="X5" s="1"/>
      <c r="Y5" s="1"/>
      <c r="Z5" s="1"/>
    </row>
    <row r="6" ht="20.25" customHeight="1">
      <c r="B6" s="8" t="s">
        <v>7</v>
      </c>
      <c r="C6" s="1"/>
      <c r="D6" s="1"/>
      <c r="E6" s="1"/>
      <c r="F6" s="1"/>
      <c r="G6" s="1"/>
      <c r="H6" s="1"/>
      <c r="I6" s="1"/>
      <c r="J6" s="1"/>
      <c r="K6" s="1"/>
      <c r="L6" s="1"/>
      <c r="M6" s="1"/>
      <c r="N6" s="1"/>
      <c r="O6" s="1"/>
      <c r="P6" s="1"/>
      <c r="Q6" s="1"/>
      <c r="R6" s="1"/>
      <c r="S6" s="1"/>
      <c r="T6" s="1"/>
      <c r="U6" s="1"/>
      <c r="V6" s="1"/>
      <c r="W6" s="1"/>
      <c r="X6" s="1"/>
      <c r="Y6" s="1"/>
      <c r="Z6" s="1"/>
    </row>
    <row r="7" ht="20.25" customHeight="1">
      <c r="A7" s="9"/>
      <c r="B7" s="10" t="s">
        <v>8</v>
      </c>
      <c r="C7" s="1"/>
      <c r="D7" s="1"/>
      <c r="E7" s="1"/>
      <c r="F7" s="1"/>
      <c r="G7" s="1"/>
      <c r="H7" s="1"/>
      <c r="I7" s="1"/>
      <c r="J7" s="1"/>
      <c r="K7" s="1"/>
      <c r="L7" s="1"/>
      <c r="M7" s="1"/>
      <c r="N7" s="1"/>
      <c r="O7" s="1"/>
      <c r="P7" s="1"/>
      <c r="Q7" s="1"/>
      <c r="R7" s="1"/>
      <c r="S7" s="1"/>
      <c r="T7" s="1"/>
      <c r="U7" s="1"/>
      <c r="V7" s="1"/>
      <c r="W7" s="1"/>
      <c r="X7" s="1"/>
      <c r="Y7" s="1"/>
      <c r="Z7" s="1"/>
    </row>
    <row r="8" ht="23.25" customHeight="1">
      <c r="A8" s="4" t="s">
        <v>9</v>
      </c>
      <c r="B8" s="11" t="s">
        <v>10</v>
      </c>
      <c r="C8" s="1"/>
      <c r="D8" s="1"/>
      <c r="E8" s="1"/>
      <c r="F8" s="1"/>
      <c r="G8" s="1"/>
      <c r="H8" s="1"/>
      <c r="I8" s="1"/>
      <c r="J8" s="1"/>
      <c r="K8" s="1"/>
      <c r="L8" s="1"/>
      <c r="M8" s="1"/>
      <c r="N8" s="1"/>
      <c r="O8" s="1"/>
      <c r="P8" s="1"/>
      <c r="Q8" s="1"/>
      <c r="R8" s="1"/>
      <c r="S8" s="1"/>
      <c r="T8" s="1"/>
      <c r="U8" s="1"/>
      <c r="V8" s="1"/>
      <c r="W8" s="1"/>
      <c r="X8" s="1"/>
      <c r="Y8" s="1"/>
      <c r="Z8" s="1"/>
    </row>
    <row r="9" ht="18.75" customHeight="1">
      <c r="A9" s="1"/>
      <c r="B9" s="1"/>
      <c r="C9" s="1"/>
      <c r="D9" s="1"/>
      <c r="E9" s="1"/>
      <c r="F9" s="1"/>
      <c r="G9" s="1"/>
      <c r="H9" s="1"/>
      <c r="I9" s="1"/>
      <c r="J9" s="1"/>
      <c r="K9" s="1"/>
      <c r="L9" s="1"/>
      <c r="M9" s="1"/>
      <c r="N9" s="1"/>
      <c r="O9" s="1"/>
      <c r="P9" s="1"/>
      <c r="Q9" s="1"/>
      <c r="R9" s="1"/>
      <c r="S9" s="1"/>
      <c r="T9" s="1"/>
      <c r="U9" s="1"/>
      <c r="V9" s="1"/>
      <c r="W9" s="1"/>
      <c r="X9" s="1"/>
      <c r="Y9" s="1"/>
      <c r="Z9" s="1"/>
    </row>
    <row r="10" ht="18.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8.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8.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2:B2"/>
    <mergeCell ref="A5:A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16.29"/>
    <col customWidth="1" min="3" max="3" width="42.0"/>
    <col customWidth="1" min="4" max="6" width="9.14"/>
    <col customWidth="1" min="7" max="26" width="8.71"/>
  </cols>
  <sheetData>
    <row r="1" ht="30.75" customHeight="1">
      <c r="A1" s="12" t="s">
        <v>11</v>
      </c>
      <c r="B1" s="13"/>
      <c r="C1" s="14"/>
      <c r="D1" s="1"/>
      <c r="E1" s="1"/>
      <c r="F1" s="1"/>
      <c r="G1" s="1"/>
      <c r="H1" s="1"/>
      <c r="I1" s="1"/>
      <c r="J1" s="1"/>
      <c r="K1" s="1"/>
      <c r="L1" s="1"/>
      <c r="M1" s="1"/>
      <c r="N1" s="1"/>
      <c r="O1" s="1"/>
      <c r="P1" s="1"/>
      <c r="Q1" s="1"/>
      <c r="R1" s="1"/>
      <c r="S1" s="1"/>
      <c r="T1" s="1"/>
      <c r="U1" s="1"/>
      <c r="V1" s="1"/>
      <c r="W1" s="1"/>
      <c r="X1" s="1"/>
      <c r="Y1" s="1"/>
      <c r="Z1" s="1"/>
    </row>
    <row r="2" ht="18.75" customHeight="1">
      <c r="A2" s="1"/>
      <c r="B2" s="1"/>
      <c r="C2" s="1"/>
      <c r="D2" s="1"/>
      <c r="E2" s="1"/>
      <c r="F2" s="1"/>
      <c r="G2" s="1"/>
      <c r="H2" s="1"/>
      <c r="I2" s="1"/>
      <c r="J2" s="1"/>
      <c r="K2" s="1"/>
      <c r="L2" s="1"/>
      <c r="M2" s="1"/>
      <c r="N2" s="1"/>
      <c r="O2" s="1"/>
      <c r="P2" s="1"/>
      <c r="Q2" s="1"/>
      <c r="R2" s="1"/>
      <c r="S2" s="1"/>
      <c r="T2" s="1"/>
      <c r="U2" s="1"/>
      <c r="V2" s="1"/>
      <c r="W2" s="1"/>
      <c r="X2" s="1"/>
      <c r="Y2" s="1"/>
      <c r="Z2" s="1"/>
    </row>
    <row r="3" ht="18.75" customHeight="1">
      <c r="A3" s="15" t="s">
        <v>12</v>
      </c>
      <c r="B3" s="16">
        <v>3.0</v>
      </c>
      <c r="C3" s="17"/>
      <c r="D3" s="1"/>
      <c r="E3" s="1"/>
      <c r="F3" s="1"/>
      <c r="G3" s="1"/>
      <c r="H3" s="1"/>
      <c r="I3" s="1"/>
      <c r="J3" s="1"/>
      <c r="K3" s="1"/>
      <c r="L3" s="1"/>
      <c r="M3" s="1"/>
      <c r="N3" s="1"/>
      <c r="O3" s="1"/>
      <c r="P3" s="1"/>
      <c r="Q3" s="1"/>
      <c r="R3" s="1"/>
      <c r="S3" s="1"/>
      <c r="T3" s="1"/>
      <c r="U3" s="1"/>
      <c r="V3" s="1"/>
      <c r="W3" s="1"/>
      <c r="X3" s="1"/>
      <c r="Y3" s="1"/>
      <c r="Z3" s="1"/>
    </row>
    <row r="4" ht="9.0" customHeight="1">
      <c r="A4" s="1"/>
      <c r="B4" s="1"/>
      <c r="C4" s="1"/>
      <c r="D4" s="1"/>
      <c r="E4" s="1"/>
      <c r="F4" s="1"/>
      <c r="G4" s="1"/>
      <c r="H4" s="1"/>
      <c r="I4" s="1"/>
      <c r="J4" s="1"/>
      <c r="K4" s="1"/>
      <c r="L4" s="1"/>
      <c r="M4" s="1"/>
      <c r="N4" s="1"/>
      <c r="O4" s="1"/>
      <c r="P4" s="1"/>
      <c r="Q4" s="1"/>
      <c r="R4" s="1"/>
      <c r="S4" s="1"/>
      <c r="T4" s="1"/>
      <c r="U4" s="1"/>
      <c r="V4" s="1"/>
      <c r="W4" s="1"/>
      <c r="X4" s="1"/>
      <c r="Y4" s="1"/>
      <c r="Z4" s="1"/>
    </row>
    <row r="5" ht="18.75" customHeight="1">
      <c r="A5" s="18" t="s">
        <v>13</v>
      </c>
      <c r="B5" s="18" t="s">
        <v>14</v>
      </c>
      <c r="C5" s="18" t="s">
        <v>15</v>
      </c>
      <c r="D5" s="1"/>
      <c r="E5" s="1"/>
      <c r="F5" s="1"/>
      <c r="G5" s="1"/>
      <c r="H5" s="1"/>
      <c r="I5" s="1"/>
      <c r="J5" s="1"/>
      <c r="K5" s="1"/>
      <c r="L5" s="1"/>
      <c r="M5" s="1"/>
      <c r="N5" s="1"/>
      <c r="O5" s="1"/>
      <c r="P5" s="1"/>
      <c r="Q5" s="1"/>
      <c r="R5" s="1"/>
      <c r="S5" s="1"/>
      <c r="T5" s="1"/>
      <c r="U5" s="1"/>
      <c r="V5" s="1"/>
      <c r="W5" s="1"/>
      <c r="X5" s="1"/>
      <c r="Y5" s="1"/>
      <c r="Z5" s="1"/>
    </row>
    <row r="6" ht="18.75" customHeight="1">
      <c r="A6" s="19">
        <v>1.0</v>
      </c>
      <c r="B6" s="20">
        <v>2.274802010863E12</v>
      </c>
      <c r="C6" s="21" t="s">
        <v>16</v>
      </c>
      <c r="D6" s="1"/>
      <c r="E6" s="1"/>
      <c r="F6" s="1"/>
      <c r="G6" s="1"/>
      <c r="H6" s="1"/>
      <c r="I6" s="1"/>
      <c r="J6" s="1"/>
      <c r="K6" s="1"/>
      <c r="L6" s="1"/>
      <c r="M6" s="1"/>
      <c r="N6" s="1"/>
      <c r="O6" s="1"/>
      <c r="P6" s="1"/>
      <c r="Q6" s="1"/>
      <c r="R6" s="1"/>
      <c r="S6" s="1"/>
      <c r="T6" s="1"/>
      <c r="U6" s="1"/>
      <c r="V6" s="1"/>
      <c r="W6" s="1"/>
      <c r="X6" s="1"/>
      <c r="Y6" s="1"/>
      <c r="Z6" s="1"/>
    </row>
    <row r="7" ht="18.75" customHeight="1">
      <c r="A7" s="22">
        <v>2.0</v>
      </c>
      <c r="B7" s="23">
        <v>2.27480201071E12</v>
      </c>
      <c r="C7" s="24" t="s">
        <v>17</v>
      </c>
      <c r="D7" s="1"/>
      <c r="E7" s="1"/>
      <c r="F7" s="1"/>
      <c r="G7" s="1"/>
      <c r="H7" s="1"/>
      <c r="I7" s="1"/>
      <c r="J7" s="1"/>
      <c r="K7" s="1"/>
      <c r="L7" s="1"/>
      <c r="M7" s="1"/>
      <c r="N7" s="1"/>
      <c r="O7" s="1"/>
      <c r="P7" s="1"/>
      <c r="Q7" s="1"/>
      <c r="R7" s="1"/>
      <c r="S7" s="1"/>
      <c r="T7" s="1"/>
      <c r="U7" s="1"/>
      <c r="V7" s="1"/>
      <c r="W7" s="1"/>
      <c r="X7" s="1"/>
      <c r="Y7" s="1"/>
      <c r="Z7" s="1"/>
    </row>
    <row r="8" ht="18.75" customHeight="1">
      <c r="A8" s="22">
        <v>3.0</v>
      </c>
      <c r="B8" s="23">
        <v>2.274802010334E12</v>
      </c>
      <c r="C8" s="24" t="s">
        <v>18</v>
      </c>
      <c r="D8" s="1"/>
      <c r="E8" s="1"/>
      <c r="F8" s="1"/>
      <c r="G8" s="1"/>
      <c r="H8" s="1"/>
      <c r="I8" s="1"/>
      <c r="J8" s="1"/>
      <c r="K8" s="1"/>
      <c r="L8" s="1"/>
      <c r="M8" s="1"/>
      <c r="N8" s="1"/>
      <c r="O8" s="1"/>
      <c r="P8" s="1"/>
      <c r="Q8" s="1"/>
      <c r="R8" s="1"/>
      <c r="S8" s="1"/>
      <c r="T8" s="1"/>
      <c r="U8" s="1"/>
      <c r="V8" s="1"/>
      <c r="W8" s="1"/>
      <c r="X8" s="1"/>
      <c r="Y8" s="1"/>
      <c r="Z8" s="1"/>
    </row>
    <row r="9" ht="18.75" customHeight="1">
      <c r="A9" s="1"/>
      <c r="B9" s="1"/>
      <c r="C9" s="1"/>
      <c r="D9" s="1"/>
      <c r="E9" s="1"/>
      <c r="F9" s="1"/>
      <c r="G9" s="1"/>
      <c r="H9" s="1"/>
      <c r="I9" s="1"/>
      <c r="J9" s="1"/>
      <c r="K9" s="1"/>
      <c r="L9" s="1"/>
      <c r="M9" s="1"/>
      <c r="N9" s="1"/>
      <c r="O9" s="1"/>
      <c r="P9" s="1"/>
      <c r="Q9" s="1"/>
      <c r="R9" s="1"/>
      <c r="S9" s="1"/>
      <c r="T9" s="1"/>
      <c r="U9" s="1"/>
      <c r="V9" s="1"/>
      <c r="W9" s="1"/>
      <c r="X9" s="1"/>
      <c r="Y9" s="1"/>
      <c r="Z9" s="1"/>
    </row>
    <row r="10" ht="18.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8.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8.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
    <mergeCell ref="A1:C1"/>
    <mergeCell ref="B3: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86"/>
    <col customWidth="1" min="3" max="3" width="13.57"/>
    <col customWidth="1" min="4" max="4" width="32.71"/>
    <col customWidth="1" min="5" max="5" width="16.71"/>
    <col customWidth="1" min="6" max="6" width="60.57"/>
    <col customWidth="1" min="7" max="26" width="8.71"/>
  </cols>
  <sheetData>
    <row r="1" ht="27.0" customHeight="1">
      <c r="A1" s="1"/>
      <c r="B1" s="25" t="s">
        <v>19</v>
      </c>
      <c r="C1" s="13"/>
      <c r="D1" s="13"/>
      <c r="E1" s="13"/>
      <c r="F1" s="14"/>
      <c r="G1" s="1"/>
      <c r="H1" s="1"/>
      <c r="I1" s="1"/>
      <c r="J1" s="1"/>
      <c r="K1" s="1"/>
      <c r="L1" s="1"/>
      <c r="M1" s="1"/>
      <c r="N1" s="1"/>
      <c r="O1" s="1"/>
      <c r="P1" s="1"/>
      <c r="Q1" s="1"/>
      <c r="R1" s="1"/>
      <c r="S1" s="1"/>
      <c r="T1" s="1"/>
      <c r="U1" s="1"/>
      <c r="V1" s="1"/>
      <c r="W1" s="1"/>
      <c r="X1" s="1"/>
      <c r="Y1" s="1"/>
      <c r="Z1" s="1"/>
    </row>
    <row r="2" ht="27.75" customHeight="1">
      <c r="A2" s="1"/>
      <c r="B2" s="26" t="s">
        <v>20</v>
      </c>
      <c r="C2" s="27"/>
      <c r="D2" s="27"/>
      <c r="E2" s="27"/>
      <c r="F2" s="28"/>
      <c r="G2" s="1"/>
      <c r="H2" s="1"/>
      <c r="I2" s="1"/>
      <c r="J2" s="1"/>
      <c r="K2" s="1"/>
      <c r="L2" s="1"/>
      <c r="M2" s="1"/>
      <c r="N2" s="1"/>
      <c r="O2" s="1"/>
      <c r="P2" s="1"/>
      <c r="Q2" s="1"/>
      <c r="R2" s="1"/>
      <c r="S2" s="1"/>
      <c r="T2" s="1"/>
      <c r="U2" s="1"/>
      <c r="V2" s="1"/>
      <c r="W2" s="1"/>
      <c r="X2" s="1"/>
      <c r="Y2" s="1"/>
      <c r="Z2" s="1"/>
    </row>
    <row r="3" ht="18.75" customHeight="1">
      <c r="A3" s="1"/>
      <c r="B3" s="1"/>
      <c r="C3" s="29"/>
      <c r="D3" s="1"/>
      <c r="E3" s="1"/>
      <c r="F3" s="1"/>
      <c r="G3" s="1"/>
      <c r="H3" s="1"/>
      <c r="I3" s="1"/>
      <c r="J3" s="1"/>
      <c r="K3" s="1"/>
      <c r="L3" s="1"/>
      <c r="M3" s="1"/>
      <c r="N3" s="1"/>
      <c r="O3" s="1"/>
      <c r="P3" s="1"/>
      <c r="Q3" s="1"/>
      <c r="R3" s="1"/>
      <c r="S3" s="1"/>
      <c r="T3" s="1"/>
      <c r="U3" s="1"/>
      <c r="V3" s="1"/>
      <c r="W3" s="1"/>
      <c r="X3" s="1"/>
      <c r="Y3" s="1"/>
      <c r="Z3" s="1"/>
    </row>
    <row r="4" ht="18.75" customHeight="1">
      <c r="A4" s="1"/>
      <c r="B4" s="18" t="s">
        <v>13</v>
      </c>
      <c r="C4" s="18" t="s">
        <v>14</v>
      </c>
      <c r="D4" s="18" t="s">
        <v>15</v>
      </c>
      <c r="E4" s="30" t="s">
        <v>21</v>
      </c>
      <c r="F4" s="18" t="s">
        <v>22</v>
      </c>
      <c r="G4" s="1"/>
      <c r="H4" s="1"/>
      <c r="I4" s="1"/>
      <c r="J4" s="1"/>
      <c r="K4" s="1"/>
      <c r="L4" s="1"/>
      <c r="M4" s="1"/>
      <c r="N4" s="1"/>
      <c r="O4" s="1"/>
      <c r="P4" s="1"/>
      <c r="Q4" s="1"/>
      <c r="R4" s="1"/>
      <c r="S4" s="1"/>
      <c r="T4" s="1"/>
      <c r="U4" s="1"/>
      <c r="V4" s="1"/>
      <c r="W4" s="1"/>
      <c r="X4" s="1"/>
      <c r="Y4" s="1"/>
      <c r="Z4" s="1"/>
    </row>
    <row r="5" ht="18.75" customHeight="1">
      <c r="A5" s="1"/>
      <c r="B5" s="22">
        <v>1.0</v>
      </c>
      <c r="C5" s="31">
        <f>'Member List'!B6</f>
        <v>2274802010863</v>
      </c>
      <c r="D5" s="32" t="str">
        <f>'Member List'!C6</f>
        <v>Nguyễn Minh Thuận</v>
      </c>
      <c r="E5" s="33">
        <f>AVERAGE('Member 1'!D7,'Member 2'!D7,'Member 3'!D7)</f>
        <v>1</v>
      </c>
      <c r="F5" s="34"/>
      <c r="G5" s="1"/>
      <c r="H5" s="1"/>
      <c r="I5" s="1"/>
      <c r="J5" s="1"/>
      <c r="K5" s="1"/>
      <c r="L5" s="1"/>
      <c r="M5" s="1"/>
      <c r="N5" s="1"/>
      <c r="O5" s="1"/>
      <c r="P5" s="1"/>
      <c r="Q5" s="1"/>
      <c r="R5" s="1"/>
      <c r="S5" s="1"/>
      <c r="T5" s="1"/>
      <c r="U5" s="1"/>
      <c r="V5" s="1"/>
      <c r="W5" s="1"/>
      <c r="X5" s="1"/>
      <c r="Y5" s="1"/>
      <c r="Z5" s="1"/>
    </row>
    <row r="6" ht="18.75" customHeight="1">
      <c r="A6" s="1"/>
      <c r="B6" s="22">
        <v>2.0</v>
      </c>
      <c r="C6" s="31">
        <f>'Member List'!B7</f>
        <v>2274802010710</v>
      </c>
      <c r="D6" s="32" t="str">
        <f>'Member List'!C7</f>
        <v>Lương Nhật Quang</v>
      </c>
      <c r="E6" s="33">
        <f>AVERAGE('Member 1'!D8,'Member 2'!D8,'Member 3'!D8)</f>
        <v>1</v>
      </c>
      <c r="F6" s="34"/>
      <c r="G6" s="1"/>
      <c r="H6" s="1"/>
      <c r="I6" s="1"/>
      <c r="J6" s="1"/>
      <c r="K6" s="1"/>
      <c r="L6" s="1"/>
      <c r="M6" s="1"/>
      <c r="N6" s="1"/>
      <c r="O6" s="1"/>
      <c r="P6" s="1"/>
      <c r="Q6" s="1"/>
      <c r="R6" s="1"/>
      <c r="S6" s="1"/>
      <c r="T6" s="1"/>
      <c r="U6" s="1"/>
      <c r="V6" s="1"/>
      <c r="W6" s="1"/>
      <c r="X6" s="1"/>
      <c r="Y6" s="1"/>
      <c r="Z6" s="1"/>
    </row>
    <row r="7" ht="18.75" customHeight="1">
      <c r="A7" s="1"/>
      <c r="B7" s="22">
        <v>3.0</v>
      </c>
      <c r="C7" s="31">
        <f>'Member List'!B8</f>
        <v>2274802010334</v>
      </c>
      <c r="D7" s="32" t="str">
        <f>'Member List'!C8</f>
        <v>Trần Quý Huy</v>
      </c>
      <c r="E7" s="33">
        <f>AVERAGE('Member 1'!D9,'Member 2'!D9,'Member 3'!D9)</f>
        <v>1</v>
      </c>
      <c r="F7" s="34"/>
      <c r="G7" s="1"/>
      <c r="H7" s="1"/>
      <c r="I7" s="1"/>
      <c r="J7" s="1"/>
      <c r="K7" s="1"/>
      <c r="L7" s="1"/>
      <c r="M7" s="1"/>
      <c r="N7" s="1"/>
      <c r="O7" s="1"/>
      <c r="P7" s="1"/>
      <c r="Q7" s="1"/>
      <c r="R7" s="1"/>
      <c r="S7" s="1"/>
      <c r="T7" s="1"/>
      <c r="U7" s="1"/>
      <c r="V7" s="1"/>
      <c r="W7" s="1"/>
      <c r="X7" s="1"/>
      <c r="Y7" s="1"/>
      <c r="Z7" s="1"/>
    </row>
    <row r="8" ht="18.75" customHeight="1">
      <c r="A8" s="1"/>
      <c r="B8" s="1"/>
      <c r="C8" s="29"/>
      <c r="D8" s="1"/>
      <c r="E8" s="1"/>
      <c r="F8" s="1"/>
      <c r="G8" s="1"/>
      <c r="H8" s="1"/>
      <c r="I8" s="1"/>
      <c r="J8" s="1"/>
      <c r="K8" s="1"/>
      <c r="L8" s="1"/>
      <c r="M8" s="1"/>
      <c r="N8" s="1"/>
      <c r="O8" s="1"/>
      <c r="P8" s="1"/>
      <c r="Q8" s="1"/>
      <c r="R8" s="1"/>
      <c r="S8" s="1"/>
      <c r="T8" s="1"/>
      <c r="U8" s="1"/>
      <c r="V8" s="1"/>
      <c r="W8" s="1"/>
      <c r="X8" s="1"/>
      <c r="Y8" s="1"/>
      <c r="Z8" s="1"/>
    </row>
    <row r="9" ht="18.75" customHeight="1">
      <c r="A9" s="1"/>
      <c r="B9" s="1"/>
      <c r="C9" s="29"/>
      <c r="D9" s="1"/>
      <c r="E9" s="1"/>
      <c r="F9" s="1"/>
      <c r="G9" s="1"/>
      <c r="H9" s="1"/>
      <c r="I9" s="1"/>
      <c r="J9" s="1"/>
      <c r="K9" s="1"/>
      <c r="L9" s="1"/>
      <c r="M9" s="1"/>
      <c r="N9" s="1"/>
      <c r="O9" s="1"/>
      <c r="P9" s="1"/>
      <c r="Q9" s="1"/>
      <c r="R9" s="1"/>
      <c r="S9" s="1"/>
      <c r="T9" s="1"/>
      <c r="U9" s="1"/>
      <c r="V9" s="1"/>
      <c r="W9" s="1"/>
      <c r="X9" s="1"/>
      <c r="Y9" s="1"/>
      <c r="Z9" s="1"/>
    </row>
    <row r="10" ht="18.75" customHeight="1">
      <c r="A10" s="1"/>
      <c r="B10" s="1"/>
      <c r="C10" s="29"/>
      <c r="D10" s="1"/>
      <c r="E10" s="1"/>
      <c r="F10" s="1"/>
      <c r="G10" s="1"/>
      <c r="H10" s="1"/>
      <c r="I10" s="1"/>
      <c r="J10" s="1"/>
      <c r="K10" s="1"/>
      <c r="L10" s="1"/>
      <c r="M10" s="1"/>
      <c r="N10" s="1"/>
      <c r="O10" s="1"/>
      <c r="P10" s="1"/>
      <c r="Q10" s="1"/>
      <c r="R10" s="1"/>
      <c r="S10" s="1"/>
      <c r="T10" s="1"/>
      <c r="U10" s="1"/>
      <c r="V10" s="1"/>
      <c r="W10" s="1"/>
      <c r="X10" s="1"/>
      <c r="Y10" s="1"/>
      <c r="Z10" s="1"/>
    </row>
    <row r="11" ht="18.75" customHeight="1">
      <c r="A11" s="1"/>
      <c r="B11" s="1"/>
      <c r="C11" s="29"/>
      <c r="D11" s="1"/>
      <c r="E11" s="1"/>
      <c r="F11" s="1"/>
      <c r="G11" s="1"/>
      <c r="H11" s="1"/>
      <c r="I11" s="1"/>
      <c r="J11" s="1"/>
      <c r="K11" s="1"/>
      <c r="L11" s="1"/>
      <c r="M11" s="1"/>
      <c r="N11" s="1"/>
      <c r="O11" s="1"/>
      <c r="P11" s="1"/>
      <c r="Q11" s="1"/>
      <c r="R11" s="1"/>
      <c r="S11" s="1"/>
      <c r="T11" s="1"/>
      <c r="U11" s="1"/>
      <c r="V11" s="1"/>
      <c r="W11" s="1"/>
      <c r="X11" s="1"/>
      <c r="Y11" s="1"/>
      <c r="Z11" s="1"/>
    </row>
    <row r="12" ht="18.75" customHeight="1">
      <c r="A12" s="1"/>
      <c r="B12" s="1"/>
      <c r="C12" s="29"/>
      <c r="D12" s="1"/>
      <c r="E12" s="1"/>
      <c r="F12" s="1"/>
      <c r="G12" s="1"/>
      <c r="H12" s="1"/>
      <c r="I12" s="1"/>
      <c r="J12" s="1"/>
      <c r="K12" s="1"/>
      <c r="L12" s="1"/>
      <c r="M12" s="1"/>
      <c r="N12" s="1"/>
      <c r="O12" s="1"/>
      <c r="P12" s="1"/>
      <c r="Q12" s="1"/>
      <c r="R12" s="1"/>
      <c r="S12" s="1"/>
      <c r="T12" s="1"/>
      <c r="U12" s="1"/>
      <c r="V12" s="1"/>
      <c r="W12" s="1"/>
      <c r="X12" s="1"/>
      <c r="Y12" s="1"/>
      <c r="Z12" s="1"/>
    </row>
    <row r="13" ht="18.75" customHeight="1">
      <c r="A13" s="1"/>
      <c r="B13" s="1"/>
      <c r="C13" s="29"/>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1"/>
      <c r="C14" s="29"/>
      <c r="D14" s="1"/>
      <c r="E14" s="1"/>
      <c r="F14" s="1"/>
      <c r="G14" s="1"/>
      <c r="H14" s="1"/>
      <c r="I14" s="1"/>
      <c r="J14" s="1"/>
      <c r="K14" s="1"/>
      <c r="L14" s="1"/>
      <c r="M14" s="1"/>
      <c r="N14" s="1"/>
      <c r="O14" s="1"/>
      <c r="P14" s="1"/>
      <c r="Q14" s="1"/>
      <c r="R14" s="1"/>
      <c r="S14" s="1"/>
      <c r="T14" s="1"/>
      <c r="U14" s="1"/>
      <c r="V14" s="1"/>
      <c r="W14" s="1"/>
      <c r="X14" s="1"/>
      <c r="Y14" s="1"/>
      <c r="Z14" s="1"/>
    </row>
    <row r="15" ht="18.75" customHeight="1">
      <c r="A15" s="1"/>
      <c r="B15" s="1"/>
      <c r="C15" s="29"/>
      <c r="D15" s="1"/>
      <c r="E15" s="1"/>
      <c r="F15" s="1"/>
      <c r="G15" s="1"/>
      <c r="H15" s="1"/>
      <c r="I15" s="1"/>
      <c r="J15" s="1"/>
      <c r="K15" s="1"/>
      <c r="L15" s="1"/>
      <c r="M15" s="1"/>
      <c r="N15" s="1"/>
      <c r="O15" s="1"/>
      <c r="P15" s="1"/>
      <c r="Q15" s="1"/>
      <c r="R15" s="1"/>
      <c r="S15" s="1"/>
      <c r="T15" s="1"/>
      <c r="U15" s="1"/>
      <c r="V15" s="1"/>
      <c r="W15" s="1"/>
      <c r="X15" s="1"/>
      <c r="Y15" s="1"/>
      <c r="Z15" s="1"/>
    </row>
    <row r="16" ht="18.75" customHeight="1">
      <c r="A16" s="1"/>
      <c r="B16" s="1"/>
      <c r="C16" s="29"/>
      <c r="D16" s="1"/>
      <c r="E16" s="1"/>
      <c r="F16" s="1"/>
      <c r="G16" s="1"/>
      <c r="H16" s="1"/>
      <c r="I16" s="1"/>
      <c r="J16" s="1"/>
      <c r="K16" s="1"/>
      <c r="L16" s="1"/>
      <c r="M16" s="1"/>
      <c r="N16" s="1"/>
      <c r="O16" s="1"/>
      <c r="P16" s="1"/>
      <c r="Q16" s="1"/>
      <c r="R16" s="1"/>
      <c r="S16" s="1"/>
      <c r="T16" s="1"/>
      <c r="U16" s="1"/>
      <c r="V16" s="1"/>
      <c r="W16" s="1"/>
      <c r="X16" s="1"/>
      <c r="Y16" s="1"/>
      <c r="Z16" s="1"/>
    </row>
    <row r="17" ht="18.75" customHeight="1">
      <c r="A17" s="1"/>
      <c r="B17" s="1"/>
      <c r="C17" s="29"/>
      <c r="D17" s="1"/>
      <c r="E17" s="1"/>
      <c r="F17" s="1"/>
      <c r="G17" s="1"/>
      <c r="H17" s="1"/>
      <c r="I17" s="1"/>
      <c r="J17" s="1"/>
      <c r="K17" s="1"/>
      <c r="L17" s="1"/>
      <c r="M17" s="1"/>
      <c r="N17" s="1"/>
      <c r="O17" s="1"/>
      <c r="P17" s="1"/>
      <c r="Q17" s="1"/>
      <c r="R17" s="1"/>
      <c r="S17" s="1"/>
      <c r="T17" s="1"/>
      <c r="U17" s="1"/>
      <c r="V17" s="1"/>
      <c r="W17" s="1"/>
      <c r="X17" s="1"/>
      <c r="Y17" s="1"/>
      <c r="Z17" s="1"/>
    </row>
    <row r="18" ht="18.75" customHeight="1">
      <c r="A18" s="1"/>
      <c r="B18" s="1"/>
      <c r="C18" s="29"/>
      <c r="D18" s="1"/>
      <c r="E18" s="1"/>
      <c r="F18" s="1"/>
      <c r="G18" s="1"/>
      <c r="H18" s="1"/>
      <c r="I18" s="1"/>
      <c r="J18" s="1"/>
      <c r="K18" s="1"/>
      <c r="L18" s="1"/>
      <c r="M18" s="1"/>
      <c r="N18" s="1"/>
      <c r="O18" s="1"/>
      <c r="P18" s="1"/>
      <c r="Q18" s="1"/>
      <c r="R18" s="1"/>
      <c r="S18" s="1"/>
      <c r="T18" s="1"/>
      <c r="U18" s="1"/>
      <c r="V18" s="1"/>
      <c r="W18" s="1"/>
      <c r="X18" s="1"/>
      <c r="Y18" s="1"/>
      <c r="Z18" s="1"/>
    </row>
    <row r="19" ht="18.75" customHeight="1">
      <c r="A19" s="1"/>
      <c r="B19" s="1"/>
      <c r="C19" s="29"/>
      <c r="D19" s="1"/>
      <c r="E19" s="1"/>
      <c r="F19" s="1"/>
      <c r="G19" s="1"/>
      <c r="H19" s="1"/>
      <c r="I19" s="1"/>
      <c r="J19" s="1"/>
      <c r="K19" s="1"/>
      <c r="L19" s="1"/>
      <c r="M19" s="1"/>
      <c r="N19" s="1"/>
      <c r="O19" s="1"/>
      <c r="P19" s="1"/>
      <c r="Q19" s="1"/>
      <c r="R19" s="1"/>
      <c r="S19" s="1"/>
      <c r="T19" s="1"/>
      <c r="U19" s="1"/>
      <c r="V19" s="1"/>
      <c r="W19" s="1"/>
      <c r="X19" s="1"/>
      <c r="Y19" s="1"/>
      <c r="Z19" s="1"/>
    </row>
    <row r="20" ht="18.75" customHeight="1">
      <c r="A20" s="1"/>
      <c r="B20" s="1"/>
      <c r="C20" s="29"/>
      <c r="D20" s="1"/>
      <c r="E20" s="1"/>
      <c r="F20" s="1"/>
      <c r="G20" s="1"/>
      <c r="H20" s="1"/>
      <c r="I20" s="1"/>
      <c r="J20" s="1"/>
      <c r="K20" s="1"/>
      <c r="L20" s="1"/>
      <c r="M20" s="1"/>
      <c r="N20" s="1"/>
      <c r="O20" s="1"/>
      <c r="P20" s="1"/>
      <c r="Q20" s="1"/>
      <c r="R20" s="1"/>
      <c r="S20" s="1"/>
      <c r="T20" s="1"/>
      <c r="U20" s="1"/>
      <c r="V20" s="1"/>
      <c r="W20" s="1"/>
      <c r="X20" s="1"/>
      <c r="Y20" s="1"/>
      <c r="Z20" s="1"/>
    </row>
    <row r="21" ht="18.75" customHeight="1">
      <c r="A21" s="1"/>
      <c r="B21" s="1"/>
      <c r="C21" s="29"/>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1"/>
      <c r="C22" s="29"/>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1"/>
      <c r="C23" s="29"/>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
      <c r="C24" s="29"/>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
      <c r="C25" s="29"/>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
      <c r="C26" s="29"/>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
      <c r="C27" s="29"/>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
      <c r="C28" s="29"/>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
      <c r="C29" s="29"/>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
      <c r="C30" s="29"/>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
      <c r="C31" s="29"/>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
      <c r="C32" s="29"/>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
      <c r="C33" s="29"/>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
      <c r="C34" s="29"/>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
      <c r="C35" s="29"/>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
      <c r="C36" s="29"/>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
      <c r="C37" s="29"/>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
      <c r="C38" s="29"/>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
      <c r="C39" s="29"/>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
      <c r="C40" s="29"/>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
      <c r="C41" s="29"/>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
      <c r="C42" s="29"/>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
      <c r="C43" s="29"/>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
      <c r="C44" s="29"/>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
      <c r="C45" s="29"/>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
      <c r="C46" s="29"/>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
      <c r="C47" s="29"/>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
      <c r="C48" s="29"/>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
      <c r="C49" s="29"/>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
      <c r="C50" s="29"/>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
      <c r="C51" s="29"/>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
      <c r="C52" s="29"/>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
      <c r="C53" s="29"/>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
      <c r="C54" s="29"/>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
      <c r="C55" s="29"/>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
      <c r="C56" s="29"/>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
      <c r="C57" s="29"/>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
      <c r="C58" s="29"/>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
      <c r="C59" s="29"/>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
      <c r="C60" s="29"/>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29"/>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29"/>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29"/>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29"/>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29"/>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29"/>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29"/>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29"/>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29"/>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29"/>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29"/>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29"/>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29"/>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29"/>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29"/>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29"/>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29"/>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29"/>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29"/>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29"/>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29"/>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29"/>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29"/>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29"/>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29"/>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29"/>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29"/>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29"/>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29"/>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29"/>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29"/>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29"/>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29"/>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29"/>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29"/>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29"/>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29"/>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29"/>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29"/>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29"/>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29"/>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29"/>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29"/>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29"/>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29"/>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29"/>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29"/>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29"/>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29"/>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29"/>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29"/>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29"/>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29"/>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29"/>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29"/>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29"/>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29"/>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29"/>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29"/>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29"/>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29"/>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29"/>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29"/>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29"/>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29"/>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29"/>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29"/>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29"/>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29"/>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29"/>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29"/>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29"/>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29"/>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29"/>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29"/>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29"/>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29"/>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29"/>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29"/>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29"/>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29"/>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29"/>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29"/>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29"/>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29"/>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29"/>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29"/>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29"/>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29"/>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29"/>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29"/>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29"/>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29"/>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29"/>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29"/>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29"/>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29"/>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29"/>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29"/>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29"/>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29"/>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29"/>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29"/>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29"/>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29"/>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29"/>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29"/>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29"/>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29"/>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29"/>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29"/>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29"/>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29"/>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29"/>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29"/>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29"/>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29"/>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29"/>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29"/>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29"/>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29"/>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29"/>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29"/>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29"/>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29"/>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29"/>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29"/>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29"/>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29"/>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29"/>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29"/>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29"/>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29"/>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29"/>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29"/>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29"/>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29"/>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29"/>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29"/>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29"/>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29"/>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29"/>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29"/>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29"/>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29"/>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29"/>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29"/>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29"/>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29"/>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29"/>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29"/>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29"/>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29"/>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29"/>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29"/>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29"/>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29"/>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29"/>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29"/>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29"/>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29"/>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29"/>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29"/>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29"/>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29"/>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29"/>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29"/>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29"/>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29"/>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29"/>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29"/>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29"/>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29"/>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29"/>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29"/>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29"/>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29"/>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29"/>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29"/>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29"/>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29"/>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29"/>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29"/>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29"/>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29"/>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29"/>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29"/>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29"/>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29"/>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29"/>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29"/>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29"/>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29"/>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29"/>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29"/>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29"/>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29"/>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29"/>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29"/>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29"/>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29"/>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29"/>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29"/>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29"/>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29"/>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29"/>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29"/>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29"/>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29"/>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29"/>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29"/>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29"/>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29"/>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29"/>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29"/>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29"/>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29"/>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29"/>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29"/>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29"/>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29"/>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29"/>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29"/>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29"/>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29"/>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29"/>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29"/>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29"/>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29"/>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29"/>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29"/>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29"/>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29"/>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29"/>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29"/>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29"/>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29"/>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29"/>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29"/>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29"/>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29"/>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29"/>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29"/>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29"/>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29"/>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29"/>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29"/>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29"/>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29"/>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29"/>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29"/>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29"/>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29"/>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29"/>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29"/>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29"/>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29"/>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29"/>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29"/>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29"/>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29"/>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29"/>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29"/>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29"/>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29"/>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29"/>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29"/>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29"/>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29"/>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29"/>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29"/>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29"/>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29"/>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29"/>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29"/>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29"/>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29"/>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29"/>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29"/>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29"/>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29"/>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29"/>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29"/>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29"/>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29"/>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29"/>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29"/>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29"/>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29"/>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29"/>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29"/>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29"/>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29"/>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29"/>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29"/>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29"/>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29"/>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29"/>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29"/>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29"/>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29"/>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29"/>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29"/>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29"/>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29"/>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29"/>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29"/>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29"/>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29"/>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29"/>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29"/>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29"/>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29"/>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29"/>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29"/>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29"/>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29"/>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29"/>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29"/>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29"/>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29"/>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29"/>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29"/>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29"/>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29"/>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29"/>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29"/>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29"/>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29"/>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29"/>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29"/>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29"/>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29"/>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29"/>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29"/>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29"/>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29"/>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29"/>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29"/>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29"/>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29"/>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29"/>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29"/>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29"/>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29"/>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29"/>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29"/>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29"/>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29"/>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29"/>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29"/>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29"/>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29"/>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29"/>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29"/>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29"/>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29"/>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29"/>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29"/>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29"/>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29"/>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29"/>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29"/>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29"/>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29"/>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29"/>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29"/>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29"/>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29"/>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29"/>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29"/>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29"/>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29"/>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29"/>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29"/>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29"/>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29"/>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29"/>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29"/>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29"/>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29"/>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29"/>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29"/>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29"/>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29"/>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29"/>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29"/>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29"/>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29"/>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29"/>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29"/>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29"/>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29"/>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29"/>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29"/>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29"/>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29"/>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29"/>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29"/>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29"/>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29"/>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29"/>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29"/>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29"/>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29"/>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29"/>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29"/>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29"/>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29"/>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29"/>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29"/>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29"/>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29"/>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29"/>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29"/>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29"/>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29"/>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29"/>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29"/>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29"/>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29"/>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29"/>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29"/>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29"/>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29"/>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29"/>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29"/>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29"/>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29"/>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29"/>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29"/>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29"/>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29"/>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29"/>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29"/>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29"/>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29"/>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29"/>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29"/>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29"/>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29"/>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29"/>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29"/>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29"/>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29"/>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29"/>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29"/>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29"/>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29"/>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29"/>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29"/>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29"/>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29"/>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29"/>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29"/>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29"/>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29"/>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29"/>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29"/>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29"/>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29"/>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29"/>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29"/>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29"/>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29"/>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29"/>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29"/>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29"/>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29"/>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29"/>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29"/>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29"/>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29"/>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29"/>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29"/>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29"/>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29"/>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29"/>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29"/>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29"/>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29"/>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29"/>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29"/>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29"/>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29"/>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29"/>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29"/>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29"/>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29"/>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29"/>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29"/>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29"/>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29"/>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29"/>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29"/>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29"/>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29"/>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29"/>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29"/>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29"/>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29"/>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29"/>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29"/>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29"/>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29"/>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29"/>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29"/>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29"/>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29"/>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29"/>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29"/>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29"/>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29"/>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29"/>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29"/>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29"/>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29"/>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29"/>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29"/>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29"/>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29"/>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29"/>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29"/>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29"/>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29"/>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29"/>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29"/>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29"/>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29"/>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29"/>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29"/>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29"/>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29"/>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29"/>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29"/>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29"/>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29"/>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29"/>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29"/>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29"/>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29"/>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29"/>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29"/>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29"/>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29"/>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29"/>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29"/>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29"/>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29"/>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29"/>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29"/>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29"/>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29"/>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29"/>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29"/>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29"/>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29"/>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29"/>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29"/>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29"/>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29"/>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29"/>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29"/>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29"/>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29"/>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29"/>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29"/>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29"/>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29"/>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29"/>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29"/>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29"/>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29"/>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29"/>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29"/>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29"/>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29"/>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29"/>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29"/>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29"/>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29"/>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29"/>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29"/>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29"/>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29"/>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29"/>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29"/>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29"/>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29"/>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29"/>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29"/>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29"/>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29"/>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29"/>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29"/>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29"/>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29"/>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29"/>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29"/>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29"/>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29"/>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29"/>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29"/>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29"/>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29"/>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29"/>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29"/>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29"/>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29"/>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29"/>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29"/>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29"/>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29"/>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29"/>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29"/>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29"/>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29"/>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29"/>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29"/>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29"/>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29"/>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29"/>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29"/>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29"/>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29"/>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29"/>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29"/>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29"/>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29"/>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29"/>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29"/>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29"/>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29"/>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29"/>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29"/>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29"/>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29"/>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29"/>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29"/>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29"/>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29"/>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29"/>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29"/>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29"/>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29"/>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29"/>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29"/>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29"/>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29"/>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29"/>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29"/>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29"/>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29"/>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29"/>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29"/>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29"/>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29"/>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29"/>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29"/>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29"/>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29"/>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29"/>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29"/>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29"/>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29"/>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29"/>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29"/>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29"/>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29"/>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29"/>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29"/>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29"/>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29"/>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29"/>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29"/>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29"/>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29"/>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29"/>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29"/>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29"/>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29"/>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29"/>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29"/>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29"/>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29"/>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29"/>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29"/>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29"/>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29"/>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29"/>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29"/>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29"/>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29"/>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29"/>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29"/>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29"/>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29"/>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29"/>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29"/>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29"/>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29"/>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29"/>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29"/>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29"/>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29"/>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29"/>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29"/>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29"/>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29"/>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29"/>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29"/>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29"/>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29"/>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29"/>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29"/>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29"/>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29"/>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29"/>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29"/>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29"/>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29"/>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29"/>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29"/>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29"/>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29"/>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29"/>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29"/>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29"/>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29"/>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29"/>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29"/>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29"/>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29"/>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29"/>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29"/>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29"/>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29"/>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29"/>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29"/>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29"/>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29"/>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29"/>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29"/>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29"/>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29"/>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29"/>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29"/>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29"/>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29"/>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29"/>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29"/>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29"/>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29"/>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29"/>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29"/>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29"/>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29"/>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29"/>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29"/>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29"/>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29"/>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29"/>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29"/>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29"/>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29"/>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29"/>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29"/>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29"/>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29"/>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29"/>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29"/>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29"/>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29"/>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29"/>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29"/>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29"/>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29"/>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29"/>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29"/>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29"/>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29"/>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29"/>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29"/>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29"/>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29"/>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29"/>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29"/>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29"/>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29"/>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29"/>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29"/>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29"/>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29"/>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29"/>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29"/>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29"/>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29"/>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29"/>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29"/>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29"/>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29"/>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29"/>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29"/>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29"/>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29"/>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29"/>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29"/>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29"/>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29"/>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29"/>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29"/>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29"/>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29"/>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29"/>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29"/>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29"/>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29"/>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29"/>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29"/>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29"/>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29"/>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29"/>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29"/>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29"/>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29"/>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29"/>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29"/>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29"/>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29"/>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29"/>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29"/>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29"/>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29"/>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29"/>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29"/>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29"/>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29"/>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29"/>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29"/>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29"/>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29"/>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29"/>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29"/>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29"/>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29"/>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29"/>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29"/>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29"/>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29"/>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29"/>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29"/>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29"/>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29"/>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29"/>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29"/>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29"/>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29"/>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29"/>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29"/>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29"/>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29"/>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29"/>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29"/>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29"/>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29"/>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29"/>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29"/>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29"/>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29"/>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29"/>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29"/>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29"/>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29"/>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29"/>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29"/>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29"/>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29"/>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29"/>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29"/>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29"/>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29"/>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29"/>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29"/>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29"/>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29"/>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29"/>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29"/>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29"/>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29"/>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29"/>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29"/>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29"/>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29"/>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29"/>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29"/>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29"/>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29"/>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29"/>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29"/>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29"/>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29"/>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29"/>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29"/>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29"/>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29"/>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29"/>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29"/>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29"/>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29"/>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29"/>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29"/>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29"/>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29"/>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29"/>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29"/>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29"/>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29"/>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29"/>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29"/>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29"/>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29"/>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29"/>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29"/>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29"/>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29"/>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29"/>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29"/>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29"/>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29"/>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29"/>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29"/>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29"/>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29"/>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29"/>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29"/>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29"/>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29"/>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29"/>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
    <mergeCell ref="B1:F1"/>
    <mergeCell ref="B2:F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2.86"/>
    <col customWidth="1" min="3" max="4" width="15.71"/>
    <col customWidth="1" min="5" max="10" width="30.71"/>
    <col customWidth="1" min="11" max="13" width="15.71"/>
    <col customWidth="1" min="14" max="26" width="8.71"/>
  </cols>
  <sheetData>
    <row r="1" ht="27.0" customHeight="1">
      <c r="A1" s="35" t="s">
        <v>23</v>
      </c>
      <c r="B1" s="13"/>
      <c r="C1" s="13"/>
      <c r="D1" s="13"/>
      <c r="E1" s="13"/>
      <c r="F1" s="13"/>
      <c r="G1" s="13"/>
      <c r="H1" s="13"/>
      <c r="I1" s="13"/>
      <c r="J1" s="14"/>
      <c r="K1" s="36"/>
      <c r="L1" s="36"/>
      <c r="M1" s="36"/>
      <c r="N1" s="36"/>
      <c r="O1" s="36"/>
      <c r="P1" s="36"/>
      <c r="Q1" s="36"/>
      <c r="R1" s="36"/>
      <c r="S1" s="36"/>
      <c r="T1" s="36"/>
      <c r="U1" s="36"/>
      <c r="V1" s="36"/>
      <c r="W1" s="36"/>
      <c r="X1" s="36"/>
      <c r="Y1" s="36"/>
      <c r="Z1" s="36"/>
    </row>
    <row r="2" ht="18.7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8.75" customHeight="1">
      <c r="A3" s="36"/>
      <c r="B3" s="37" t="s">
        <v>24</v>
      </c>
      <c r="C3" s="38" t="s">
        <v>25</v>
      </c>
      <c r="D3" s="9"/>
      <c r="E3" s="39"/>
      <c r="F3" s="36"/>
      <c r="G3" s="37"/>
      <c r="H3" s="40"/>
      <c r="I3" s="40"/>
      <c r="J3" s="41"/>
      <c r="K3" s="42"/>
      <c r="L3" s="42"/>
      <c r="M3" s="42"/>
      <c r="N3" s="36"/>
      <c r="O3" s="36"/>
      <c r="P3" s="36"/>
      <c r="Q3" s="36"/>
      <c r="R3" s="36"/>
      <c r="S3" s="36"/>
      <c r="T3" s="36"/>
      <c r="U3" s="36"/>
      <c r="V3" s="36"/>
      <c r="W3" s="36"/>
      <c r="X3" s="36"/>
      <c r="Y3" s="36"/>
      <c r="Z3" s="36"/>
    </row>
    <row r="4" ht="18.75" customHeight="1">
      <c r="A4" s="36"/>
      <c r="B4" s="36"/>
      <c r="C4" s="36"/>
      <c r="D4" s="36"/>
      <c r="E4" s="36"/>
      <c r="F4" s="36"/>
      <c r="G4" s="36"/>
      <c r="H4" s="36"/>
      <c r="I4" s="36"/>
      <c r="J4" s="36"/>
      <c r="K4" s="36"/>
      <c r="L4" s="36"/>
      <c r="M4" s="36"/>
      <c r="N4" s="36"/>
      <c r="O4" s="36"/>
      <c r="P4" s="36"/>
      <c r="Q4" s="36"/>
      <c r="R4" s="36"/>
      <c r="S4" s="36"/>
      <c r="T4" s="36"/>
      <c r="U4" s="36"/>
      <c r="V4" s="36"/>
      <c r="W4" s="36"/>
      <c r="X4" s="36"/>
      <c r="Y4" s="36"/>
      <c r="Z4" s="36"/>
    </row>
    <row r="5" ht="18.75" customHeight="1">
      <c r="A5" s="43" t="s">
        <v>26</v>
      </c>
      <c r="B5" s="44" t="s">
        <v>27</v>
      </c>
      <c r="C5" s="45"/>
      <c r="D5" s="43" t="s">
        <v>28</v>
      </c>
      <c r="E5" s="46" t="s">
        <v>29</v>
      </c>
      <c r="F5" s="47"/>
      <c r="G5" s="47"/>
      <c r="H5" s="47"/>
      <c r="I5" s="47"/>
      <c r="J5" s="48"/>
      <c r="K5" s="36"/>
      <c r="L5" s="36"/>
      <c r="M5" s="36"/>
      <c r="N5" s="36"/>
      <c r="O5" s="36"/>
      <c r="P5" s="36"/>
      <c r="Q5" s="36"/>
      <c r="R5" s="36"/>
      <c r="S5" s="36"/>
      <c r="T5" s="36"/>
      <c r="U5" s="36"/>
      <c r="V5" s="36"/>
      <c r="W5" s="36"/>
      <c r="X5" s="36"/>
      <c r="Y5" s="36"/>
      <c r="Z5" s="36"/>
    </row>
    <row r="6" ht="30.0" customHeight="1">
      <c r="A6" s="49"/>
      <c r="B6" s="50"/>
      <c r="C6" s="51"/>
      <c r="D6" s="49"/>
      <c r="E6" s="52" t="s">
        <v>30</v>
      </c>
      <c r="F6" s="52" t="s">
        <v>31</v>
      </c>
      <c r="G6" s="52" t="s">
        <v>32</v>
      </c>
      <c r="H6" s="52" t="s">
        <v>33</v>
      </c>
      <c r="I6" s="52" t="s">
        <v>34</v>
      </c>
      <c r="J6" s="52" t="s">
        <v>35</v>
      </c>
      <c r="K6" s="53"/>
      <c r="L6" s="53"/>
      <c r="M6" s="53"/>
      <c r="N6" s="53"/>
      <c r="O6" s="53"/>
      <c r="P6" s="53"/>
      <c r="Q6" s="53"/>
      <c r="R6" s="53"/>
      <c r="S6" s="53"/>
      <c r="T6" s="53"/>
      <c r="U6" s="53"/>
      <c r="V6" s="53"/>
      <c r="W6" s="53"/>
      <c r="X6" s="53"/>
      <c r="Y6" s="53"/>
      <c r="Z6" s="53"/>
    </row>
    <row r="7" ht="18.75" customHeight="1">
      <c r="A7" s="54">
        <v>1.0</v>
      </c>
      <c r="B7" s="55" t="str">
        <f>'Member List'!C6</f>
        <v>Nguyễn Minh Thuận</v>
      </c>
      <c r="C7" s="48"/>
      <c r="D7" s="56">
        <f>IFERROR(AVERAGE(VLOOKUP(E7,'Sheet 1'!$B$3:$D$8,3,),VLOOKUP(F7,'Sheet 1'!$B$3:$D$8,3,),VLOOKUP(G7,'Sheet 1'!$B$3:$D$8,3,),VLOOKUP(H7,'Sheet 1'!$B$3:$D$8,3,),VLOOKUP(I7,'Sheet 1'!$B$3:$D$8,3,),VLOOKUP(J7,'Sheet 1'!$B$3:$D$8,3,)),0)</f>
        <v>1</v>
      </c>
      <c r="E7" s="57" t="s">
        <v>36</v>
      </c>
      <c r="F7" s="57" t="s">
        <v>36</v>
      </c>
      <c r="G7" s="57" t="s">
        <v>36</v>
      </c>
      <c r="H7" s="57" t="s">
        <v>36</v>
      </c>
      <c r="I7" s="57" t="s">
        <v>36</v>
      </c>
      <c r="J7" s="57" t="s">
        <v>36</v>
      </c>
      <c r="K7" s="36"/>
      <c r="L7" s="36"/>
      <c r="M7" s="36"/>
      <c r="N7" s="36"/>
      <c r="O7" s="36"/>
      <c r="P7" s="36"/>
      <c r="Q7" s="36"/>
      <c r="R7" s="36"/>
      <c r="S7" s="36"/>
      <c r="T7" s="36"/>
      <c r="U7" s="36"/>
      <c r="V7" s="36"/>
      <c r="W7" s="36"/>
      <c r="X7" s="36"/>
      <c r="Y7" s="36"/>
      <c r="Z7" s="36"/>
    </row>
    <row r="8" ht="18.75" customHeight="1">
      <c r="A8" s="58">
        <v>2.0</v>
      </c>
      <c r="B8" s="59" t="str">
        <f>'Member List'!C7</f>
        <v>Lương Nhật Quang</v>
      </c>
      <c r="C8" s="48"/>
      <c r="D8" s="60">
        <f>IFERROR(AVERAGE(VLOOKUP(E8,'Sheet 1'!$B$3:$D$8,3,),VLOOKUP(F8,'Sheet 1'!$B$3:$D$8,3,),VLOOKUP(G8,'Sheet 1'!$B$3:$D$8,3,),VLOOKUP(H8,'Sheet 1'!$B$3:$D$8,3,),VLOOKUP(I8,'Sheet 1'!$B$3:$D$8,3,),VLOOKUP(J8,'Sheet 1'!$B$3:$D$8,3,)),0)</f>
        <v>1</v>
      </c>
      <c r="E8" s="61" t="s">
        <v>36</v>
      </c>
      <c r="F8" s="61" t="s">
        <v>36</v>
      </c>
      <c r="G8" s="61" t="s">
        <v>36</v>
      </c>
      <c r="H8" s="61" t="s">
        <v>36</v>
      </c>
      <c r="I8" s="61" t="s">
        <v>36</v>
      </c>
      <c r="J8" s="61" t="s">
        <v>36</v>
      </c>
      <c r="K8" s="36"/>
      <c r="L8" s="62"/>
      <c r="M8" s="36"/>
      <c r="N8" s="36"/>
      <c r="O8" s="36"/>
      <c r="P8" s="36"/>
      <c r="Q8" s="36"/>
      <c r="R8" s="36"/>
      <c r="S8" s="36"/>
      <c r="T8" s="36"/>
      <c r="U8" s="36"/>
      <c r="V8" s="36"/>
      <c r="W8" s="36"/>
      <c r="X8" s="36"/>
      <c r="Y8" s="36"/>
      <c r="Z8" s="36"/>
    </row>
    <row r="9" ht="18.75" customHeight="1">
      <c r="A9" s="58">
        <v>3.0</v>
      </c>
      <c r="B9" s="59" t="str">
        <f>'Member List'!C8</f>
        <v>Trần Quý Huy</v>
      </c>
      <c r="C9" s="48"/>
      <c r="D9" s="60">
        <f>IFERROR(AVERAGE(VLOOKUP(E9,'Sheet 1'!$B$3:$D$8,3,),VLOOKUP(F9,'Sheet 1'!$B$3:$D$8,3,),VLOOKUP(G9,'Sheet 1'!$B$3:$D$8,3,),VLOOKUP(H9,'Sheet 1'!$B$3:$D$8,3,),VLOOKUP(I9,'Sheet 1'!$B$3:$D$8,3,),VLOOKUP(J9,'Sheet 1'!$B$3:$D$8,3,)),0)</f>
        <v>1</v>
      </c>
      <c r="E9" s="61" t="s">
        <v>36</v>
      </c>
      <c r="F9" s="61" t="s">
        <v>36</v>
      </c>
      <c r="G9" s="61" t="s">
        <v>36</v>
      </c>
      <c r="H9" s="61" t="s">
        <v>36</v>
      </c>
      <c r="I9" s="61" t="s">
        <v>36</v>
      </c>
      <c r="J9" s="61" t="s">
        <v>36</v>
      </c>
      <c r="K9" s="36"/>
      <c r="L9" s="62"/>
      <c r="M9" s="36"/>
      <c r="N9" s="36"/>
      <c r="O9" s="36"/>
      <c r="P9" s="36"/>
      <c r="Q9" s="36"/>
      <c r="R9" s="36"/>
      <c r="S9" s="36"/>
      <c r="T9" s="36"/>
      <c r="U9" s="36"/>
      <c r="V9" s="36"/>
      <c r="W9" s="36"/>
      <c r="X9" s="36"/>
      <c r="Y9" s="36"/>
      <c r="Z9" s="36"/>
    </row>
    <row r="10" ht="18.7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8.75" customHeight="1">
      <c r="A11" s="63" t="s">
        <v>37</v>
      </c>
      <c r="B11" s="48"/>
      <c r="C11" s="63" t="s">
        <v>36</v>
      </c>
      <c r="D11" s="48"/>
      <c r="E11" s="64" t="s">
        <v>38</v>
      </c>
      <c r="F11" s="64" t="s">
        <v>39</v>
      </c>
      <c r="G11" s="64" t="s">
        <v>40</v>
      </c>
      <c r="H11" s="64" t="s">
        <v>41</v>
      </c>
      <c r="I11" s="64" t="s">
        <v>42</v>
      </c>
      <c r="J11" s="36"/>
      <c r="K11" s="36"/>
      <c r="L11" s="36"/>
      <c r="M11" s="36"/>
      <c r="N11" s="36"/>
      <c r="O11" s="36"/>
      <c r="P11" s="36"/>
      <c r="Q11" s="36"/>
      <c r="R11" s="36"/>
      <c r="S11" s="36"/>
      <c r="T11" s="36"/>
      <c r="U11" s="36"/>
      <c r="V11" s="36"/>
      <c r="W11" s="36"/>
      <c r="X11" s="36"/>
      <c r="Y11" s="36"/>
      <c r="Z11" s="36"/>
    </row>
    <row r="12" ht="147.0" customHeight="1">
      <c r="A12" s="65" t="s">
        <v>30</v>
      </c>
      <c r="B12" s="48"/>
      <c r="C12" s="66" t="s">
        <v>43</v>
      </c>
      <c r="D12" s="48"/>
      <c r="E12" s="67" t="s">
        <v>44</v>
      </c>
      <c r="F12" s="67" t="s">
        <v>45</v>
      </c>
      <c r="G12" s="67" t="s">
        <v>46</v>
      </c>
      <c r="H12" s="67" t="s">
        <v>47</v>
      </c>
      <c r="I12" s="67" t="s">
        <v>48</v>
      </c>
      <c r="J12" s="36"/>
      <c r="K12" s="36"/>
      <c r="L12" s="36"/>
      <c r="M12" s="36"/>
      <c r="N12" s="36"/>
      <c r="O12" s="36"/>
      <c r="P12" s="36"/>
      <c r="Q12" s="36"/>
      <c r="R12" s="36"/>
      <c r="S12" s="36"/>
      <c r="T12" s="36"/>
      <c r="U12" s="36"/>
      <c r="V12" s="36"/>
      <c r="W12" s="36"/>
      <c r="X12" s="36"/>
      <c r="Y12" s="36"/>
      <c r="Z12" s="36"/>
    </row>
    <row r="13" ht="84.75" customHeight="1">
      <c r="A13" s="65" t="s">
        <v>31</v>
      </c>
      <c r="B13" s="48"/>
      <c r="C13" s="66" t="s">
        <v>49</v>
      </c>
      <c r="D13" s="48"/>
      <c r="E13" s="67" t="s">
        <v>50</v>
      </c>
      <c r="F13" s="67" t="s">
        <v>51</v>
      </c>
      <c r="G13" s="67" t="s">
        <v>52</v>
      </c>
      <c r="H13" s="67" t="s">
        <v>53</v>
      </c>
      <c r="I13" s="67" t="s">
        <v>48</v>
      </c>
      <c r="J13" s="36"/>
      <c r="K13" s="36"/>
      <c r="L13" s="36"/>
      <c r="M13" s="36"/>
      <c r="N13" s="36"/>
      <c r="O13" s="36"/>
      <c r="P13" s="36"/>
      <c r="Q13" s="36"/>
      <c r="R13" s="36"/>
      <c r="S13" s="36"/>
      <c r="T13" s="36"/>
      <c r="U13" s="36"/>
      <c r="V13" s="36"/>
      <c r="W13" s="36"/>
      <c r="X13" s="36"/>
      <c r="Y13" s="36"/>
      <c r="Z13" s="36"/>
    </row>
    <row r="14" ht="121.5" customHeight="1">
      <c r="A14" s="65" t="s">
        <v>54</v>
      </c>
      <c r="B14" s="48"/>
      <c r="C14" s="66" t="s">
        <v>55</v>
      </c>
      <c r="D14" s="48"/>
      <c r="E14" s="67" t="s">
        <v>56</v>
      </c>
      <c r="F14" s="67" t="s">
        <v>57</v>
      </c>
      <c r="G14" s="67" t="s">
        <v>58</v>
      </c>
      <c r="H14" s="67" t="s">
        <v>59</v>
      </c>
      <c r="I14" s="67" t="s">
        <v>60</v>
      </c>
      <c r="J14" s="36"/>
      <c r="K14" s="36"/>
      <c r="L14" s="36"/>
      <c r="M14" s="36"/>
      <c r="N14" s="36"/>
      <c r="O14" s="36"/>
      <c r="P14" s="36"/>
      <c r="Q14" s="36"/>
      <c r="R14" s="36"/>
      <c r="S14" s="36"/>
      <c r="T14" s="36"/>
      <c r="U14" s="36"/>
      <c r="V14" s="36"/>
      <c r="W14" s="36"/>
      <c r="X14" s="36"/>
      <c r="Y14" s="36"/>
      <c r="Z14" s="36"/>
    </row>
    <row r="15" ht="18.75" customHeight="1">
      <c r="A15" s="65" t="s">
        <v>33</v>
      </c>
      <c r="B15" s="48"/>
      <c r="C15" s="66" t="s">
        <v>61</v>
      </c>
      <c r="D15" s="48"/>
      <c r="E15" s="67" t="s">
        <v>62</v>
      </c>
      <c r="F15" s="67" t="s">
        <v>63</v>
      </c>
      <c r="G15" s="67" t="s">
        <v>64</v>
      </c>
      <c r="H15" s="67" t="s">
        <v>65</v>
      </c>
      <c r="I15" s="67" t="s">
        <v>60</v>
      </c>
      <c r="J15" s="36"/>
      <c r="K15" s="36"/>
      <c r="L15" s="36"/>
      <c r="M15" s="36"/>
      <c r="N15" s="36"/>
      <c r="O15" s="36"/>
      <c r="P15" s="36"/>
      <c r="Q15" s="36"/>
      <c r="R15" s="36"/>
      <c r="S15" s="36"/>
      <c r="T15" s="36"/>
      <c r="U15" s="36"/>
      <c r="V15" s="36"/>
      <c r="W15" s="36"/>
      <c r="X15" s="36"/>
      <c r="Y15" s="36"/>
      <c r="Z15" s="36"/>
    </row>
    <row r="16" ht="133.5" customHeight="1">
      <c r="A16" s="65" t="s">
        <v>34</v>
      </c>
      <c r="B16" s="48"/>
      <c r="C16" s="66" t="s">
        <v>66</v>
      </c>
      <c r="D16" s="48"/>
      <c r="E16" s="67" t="s">
        <v>67</v>
      </c>
      <c r="F16" s="67" t="s">
        <v>68</v>
      </c>
      <c r="G16" s="67" t="s">
        <v>69</v>
      </c>
      <c r="H16" s="67" t="s">
        <v>70</v>
      </c>
      <c r="I16" s="67" t="s">
        <v>60</v>
      </c>
      <c r="J16" s="36"/>
      <c r="K16" s="36"/>
      <c r="L16" s="36"/>
      <c r="M16" s="36"/>
      <c r="N16" s="36"/>
      <c r="O16" s="36"/>
      <c r="P16" s="36"/>
      <c r="Q16" s="36"/>
      <c r="R16" s="36"/>
      <c r="S16" s="36"/>
      <c r="T16" s="36"/>
      <c r="U16" s="36"/>
      <c r="V16" s="36"/>
      <c r="W16" s="36"/>
      <c r="X16" s="36"/>
      <c r="Y16" s="36"/>
      <c r="Z16" s="36"/>
    </row>
    <row r="17" ht="134.25" customHeight="1">
      <c r="A17" s="65" t="s">
        <v>35</v>
      </c>
      <c r="B17" s="48"/>
      <c r="C17" s="66" t="s">
        <v>71</v>
      </c>
      <c r="D17" s="48"/>
      <c r="E17" s="67" t="s">
        <v>72</v>
      </c>
      <c r="F17" s="67" t="s">
        <v>73</v>
      </c>
      <c r="G17" s="67" t="s">
        <v>74</v>
      </c>
      <c r="H17" s="67" t="s">
        <v>75</v>
      </c>
      <c r="I17" s="67" t="s">
        <v>48</v>
      </c>
      <c r="J17" s="36"/>
      <c r="K17" s="36"/>
      <c r="L17" s="36"/>
      <c r="M17" s="36"/>
      <c r="N17" s="36"/>
      <c r="O17" s="36"/>
      <c r="P17" s="36"/>
      <c r="Q17" s="36"/>
      <c r="R17" s="36"/>
      <c r="S17" s="36"/>
      <c r="T17" s="36"/>
      <c r="U17" s="36"/>
      <c r="V17" s="36"/>
      <c r="W17" s="36"/>
      <c r="X17" s="36"/>
      <c r="Y17" s="36"/>
      <c r="Z17" s="36"/>
    </row>
    <row r="18" ht="18.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8.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8.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8.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8.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8.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8.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8.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8.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8.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8.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8.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8.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8.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8.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8.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8.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8.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8.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8.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8.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8.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8.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8.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8.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8.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8.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8.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8.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8.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8.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8.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8.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8.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8.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8.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8.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8.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8.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8.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8.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8.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8.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8.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8.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8.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8.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8.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8.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8.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8.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8.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8.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8.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8.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8.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8.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8.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8.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8.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8.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8.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8.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8.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8.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8.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8.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8.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8.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8.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8.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8.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8.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8.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8.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8.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8.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8.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8.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8.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8.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8.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8.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8.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8.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8.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8.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8.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8.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8.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8.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8.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8.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8.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8.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8.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8.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8.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8.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8.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8.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8.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8.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8.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8.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8.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8.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8.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8.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8.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8.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8.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8.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8.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8.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8.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8.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8.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8.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8.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8.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8.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8.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8.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8.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8.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8.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8.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8.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8.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8.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8.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8.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8.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8.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8.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8.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8.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8.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8.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8.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8.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8.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8.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8.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8.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8.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8.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8.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8.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8.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8.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8.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8.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8.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8.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8.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8.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8.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8.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8.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8.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8.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8.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8.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8.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8.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8.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8.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8.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8.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8.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8.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8.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8.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8.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8.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8.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8.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8.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8.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8.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8.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8.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8.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8.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8.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8.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8.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8.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8.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8.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8.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8.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8.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8.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8.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8.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8.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8.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8.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8.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8.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8.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8.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8.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8.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8.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8.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8.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8.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8.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8.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8.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8.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8.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8.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8.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8.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8.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8.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8.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8.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8.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8.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8.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8.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8.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8.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8.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8.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8.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8.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8.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8.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8.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8.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8.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8.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8.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8.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8.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8.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8.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8.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8.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8.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8.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8.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8.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8.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8.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8.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8.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8.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8.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8.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8.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8.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8.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8.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8.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8.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8.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8.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8.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8.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8.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8.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8.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8.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8.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8.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8.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8.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8.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8.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8.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8.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8.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8.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8.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8.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8.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8.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8.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8.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8.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8.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8.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8.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8.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8.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8.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8.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8.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8.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8.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8.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8.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8.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8.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8.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8.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8.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8.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8.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8.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8.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8.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8.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8.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8.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8.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8.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8.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8.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8.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8.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8.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8.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8.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8.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8.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8.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8.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8.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8.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8.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8.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8.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8.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8.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8.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8.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8.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8.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8.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8.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8.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8.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8.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8.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8.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8.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8.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8.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8.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8.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8.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8.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8.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8.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8.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8.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8.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8.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8.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8.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8.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8.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8.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8.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8.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8.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8.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8.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8.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8.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8.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8.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8.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8.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8.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8.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8.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8.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8.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8.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8.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8.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8.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8.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8.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8.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8.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8.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8.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8.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8.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8.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8.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8.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8.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8.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8.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8.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8.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8.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8.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8.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8.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8.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8.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8.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8.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8.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8.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8.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8.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8.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8.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8.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8.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8.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8.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8.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8.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8.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8.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8.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8.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8.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8.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8.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8.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8.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8.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8.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8.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8.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8.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8.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8.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8.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8.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8.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8.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8.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8.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8.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8.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8.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8.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8.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8.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8.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8.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8.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8.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8.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8.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8.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8.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8.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8.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8.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8.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8.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8.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8.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8.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8.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8.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8.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8.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8.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8.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8.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8.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8.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8.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8.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8.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8.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8.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8.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8.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8.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8.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8.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8.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8.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8.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8.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8.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8.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8.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8.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8.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8.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8.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8.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8.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8.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8.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8.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8.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8.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8.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8.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8.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8.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8.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8.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8.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8.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8.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8.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8.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8.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8.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8.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8.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8.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8.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8.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8.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8.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8.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8.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8.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8.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8.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8.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8.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8.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8.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8.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8.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8.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8.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8.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8.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8.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8.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8.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8.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8.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8.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8.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8.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8.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8.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8.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8.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8.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8.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8.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8.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8.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8.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8.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8.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8.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8.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8.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8.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8.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8.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8.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8.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8.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8.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8.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8.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8.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8.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8.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8.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8.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8.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8.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8.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8.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8.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8.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8.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8.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8.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8.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8.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8.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8.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8.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8.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8.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8.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8.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8.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8.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8.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8.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8.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8.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8.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8.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8.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8.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8.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8.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8.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8.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8.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8.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8.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8.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8.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8.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8.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8.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8.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8.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8.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8.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8.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8.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8.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8.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8.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8.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8.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8.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8.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8.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8.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8.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8.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8.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8.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8.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8.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8.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8.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8.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8.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8.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8.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8.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8.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8.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8.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8.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8.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8.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8.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8.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8.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8.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8.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8.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8.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8.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8.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8.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8.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8.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8.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8.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8.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8.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8.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8.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8.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8.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8.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8.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8.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8.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8.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8.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8.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8.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8.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8.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8.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8.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8.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8.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8.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8.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8.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8.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8.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8.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8.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8.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8.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8.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8.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8.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8.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8.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8.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8.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8.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8.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8.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8.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8.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8.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8.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8.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8.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8.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8.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8.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8.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8.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8.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8.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8.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8.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8.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8.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8.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8.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8.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8.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8.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8.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8.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8.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8.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8.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8.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8.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8.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8.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8.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8.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8.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8.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8.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8.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8.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8.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8.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8.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8.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8.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8.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8.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8.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8.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8.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8.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8.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8.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8.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8.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8.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8.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8.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8.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8.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8.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8.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8.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8.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8.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8.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8.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8.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8.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8.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8.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8.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8.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8.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8.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8.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8.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8.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8.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8.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8.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8.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8.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8.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8.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8.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8.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8.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8.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8.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8.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8.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8.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8.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8.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8.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8.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8.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8.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8.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8.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8.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8.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8.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8.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8.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8.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8.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8.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8.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8.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8.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8.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8.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8.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8.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8.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8.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8.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8.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8.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8.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8.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8.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8.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8.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8.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8.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8.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8.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8.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8.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8.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8.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8.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8.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8.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8.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8.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8.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8.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8.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8.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8.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8.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8.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8.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8.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8.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8.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8.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8.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8.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8.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8.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8.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8.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8.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8.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8.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8.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8.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8.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8.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8.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8.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8.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8.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8.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8.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8.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8.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8.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8.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8.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8.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8.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8.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8.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8.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8.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8.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8.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8.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8.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8.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8.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8.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8.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8.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8.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8.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8.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8.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8.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8.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8.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8.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8.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8.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8.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8.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8.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8.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8.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8.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8.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8.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8.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8.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8.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8.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8.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8.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8.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8.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8.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8.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8.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8.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8.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8.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8.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8.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8.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8.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8.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8.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8.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8.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8.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8.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8.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8.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8.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8.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8.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8.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8.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8.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8.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8.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8.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8.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8.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8.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8.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8.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8.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8.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8.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8.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8.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8.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8.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8.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8.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8.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8.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8.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8.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8.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8.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8.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8.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8.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8.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8.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8.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8.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8.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8.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8.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8.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8.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8.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8.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8.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8.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8.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8.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8.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8.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sheetData>
  <mergeCells count="23">
    <mergeCell ref="A1:J1"/>
    <mergeCell ref="C3:D3"/>
    <mergeCell ref="A5:A6"/>
    <mergeCell ref="B5:C6"/>
    <mergeCell ref="D5:D6"/>
    <mergeCell ref="E5:J5"/>
    <mergeCell ref="B7:C7"/>
    <mergeCell ref="A13:B13"/>
    <mergeCell ref="A14:B14"/>
    <mergeCell ref="A15:B15"/>
    <mergeCell ref="A16:B16"/>
    <mergeCell ref="A17:B17"/>
    <mergeCell ref="C14:D14"/>
    <mergeCell ref="C15:D15"/>
    <mergeCell ref="C16:D16"/>
    <mergeCell ref="C17:D17"/>
    <mergeCell ref="B8:C8"/>
    <mergeCell ref="B9:C9"/>
    <mergeCell ref="A11:B11"/>
    <mergeCell ref="C11:D11"/>
    <mergeCell ref="A12:B12"/>
    <mergeCell ref="C12:D12"/>
    <mergeCell ref="C13:D13"/>
  </mergeCells>
  <dataValidations>
    <dataValidation type="list" allowBlank="1" showErrorMessage="1" sqref="E7:J9">
      <formula1>'Sheet 1'!$B$3:$B$8</formula1>
    </dataValidation>
  </dataValidation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2.86"/>
    <col customWidth="1" min="3" max="4" width="15.71"/>
    <col customWidth="1" min="5" max="10" width="30.71"/>
    <col customWidth="1" min="11" max="13" width="15.71"/>
    <col customWidth="1" min="14" max="26" width="8.71"/>
  </cols>
  <sheetData>
    <row r="1" ht="27.0" customHeight="1">
      <c r="A1" s="35" t="s">
        <v>23</v>
      </c>
      <c r="B1" s="13"/>
      <c r="C1" s="13"/>
      <c r="D1" s="13"/>
      <c r="E1" s="13"/>
      <c r="F1" s="13"/>
      <c r="G1" s="13"/>
      <c r="H1" s="13"/>
      <c r="I1" s="13"/>
      <c r="J1" s="14"/>
      <c r="K1" s="36"/>
      <c r="L1" s="36"/>
      <c r="M1" s="36"/>
      <c r="N1" s="36"/>
      <c r="O1" s="36"/>
      <c r="P1" s="36"/>
      <c r="Q1" s="36"/>
      <c r="R1" s="36"/>
      <c r="S1" s="36"/>
      <c r="T1" s="36"/>
      <c r="U1" s="36"/>
      <c r="V1" s="36"/>
      <c r="W1" s="36"/>
      <c r="X1" s="36"/>
      <c r="Y1" s="36"/>
      <c r="Z1" s="36"/>
    </row>
    <row r="2" ht="18.7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8.75" customHeight="1">
      <c r="A3" s="36"/>
      <c r="B3" s="37" t="s">
        <v>24</v>
      </c>
      <c r="C3" s="38" t="s">
        <v>25</v>
      </c>
      <c r="D3" s="9"/>
      <c r="E3" s="39"/>
      <c r="F3" s="36"/>
      <c r="G3" s="37"/>
      <c r="H3" s="40"/>
      <c r="I3" s="40"/>
      <c r="J3" s="41"/>
      <c r="K3" s="42"/>
      <c r="L3" s="42"/>
      <c r="M3" s="42"/>
      <c r="N3" s="36"/>
      <c r="O3" s="36"/>
      <c r="P3" s="36"/>
      <c r="Q3" s="36"/>
      <c r="R3" s="36"/>
      <c r="S3" s="36"/>
      <c r="T3" s="36"/>
      <c r="U3" s="36"/>
      <c r="V3" s="36"/>
      <c r="W3" s="36"/>
      <c r="X3" s="36"/>
      <c r="Y3" s="36"/>
      <c r="Z3" s="36"/>
    </row>
    <row r="4" ht="18.75" customHeight="1">
      <c r="A4" s="36"/>
      <c r="B4" s="36"/>
      <c r="C4" s="36"/>
      <c r="D4" s="36"/>
      <c r="E4" s="36"/>
      <c r="F4" s="36"/>
      <c r="G4" s="36"/>
      <c r="H4" s="36"/>
      <c r="I4" s="36"/>
      <c r="J4" s="36"/>
      <c r="K4" s="36"/>
      <c r="L4" s="36"/>
      <c r="M4" s="36"/>
      <c r="N4" s="36"/>
      <c r="O4" s="36"/>
      <c r="P4" s="36"/>
      <c r="Q4" s="36"/>
      <c r="R4" s="36"/>
      <c r="S4" s="36"/>
      <c r="T4" s="36"/>
      <c r="U4" s="36"/>
      <c r="V4" s="36"/>
      <c r="W4" s="36"/>
      <c r="X4" s="36"/>
      <c r="Y4" s="36"/>
      <c r="Z4" s="36"/>
    </row>
    <row r="5" ht="18.75" customHeight="1">
      <c r="A5" s="43" t="s">
        <v>26</v>
      </c>
      <c r="B5" s="44" t="s">
        <v>27</v>
      </c>
      <c r="C5" s="45"/>
      <c r="D5" s="43" t="s">
        <v>28</v>
      </c>
      <c r="E5" s="46" t="s">
        <v>29</v>
      </c>
      <c r="F5" s="47"/>
      <c r="G5" s="47"/>
      <c r="H5" s="47"/>
      <c r="I5" s="47"/>
      <c r="J5" s="48"/>
      <c r="K5" s="36"/>
      <c r="L5" s="36"/>
      <c r="M5" s="36"/>
      <c r="N5" s="36"/>
      <c r="O5" s="36"/>
      <c r="P5" s="36"/>
      <c r="Q5" s="36"/>
      <c r="R5" s="36"/>
      <c r="S5" s="36"/>
      <c r="T5" s="36"/>
      <c r="U5" s="36"/>
      <c r="V5" s="36"/>
      <c r="W5" s="36"/>
      <c r="X5" s="36"/>
      <c r="Y5" s="36"/>
      <c r="Z5" s="36"/>
    </row>
    <row r="6" ht="30.0" customHeight="1">
      <c r="A6" s="49"/>
      <c r="B6" s="50"/>
      <c r="C6" s="51"/>
      <c r="D6" s="49"/>
      <c r="E6" s="52" t="s">
        <v>30</v>
      </c>
      <c r="F6" s="52" t="s">
        <v>31</v>
      </c>
      <c r="G6" s="52" t="s">
        <v>32</v>
      </c>
      <c r="H6" s="52" t="s">
        <v>33</v>
      </c>
      <c r="I6" s="52" t="s">
        <v>34</v>
      </c>
      <c r="J6" s="52" t="s">
        <v>35</v>
      </c>
      <c r="K6" s="53"/>
      <c r="L6" s="53"/>
      <c r="M6" s="53"/>
      <c r="N6" s="53"/>
      <c r="O6" s="53"/>
      <c r="P6" s="53"/>
      <c r="Q6" s="53"/>
      <c r="R6" s="53"/>
      <c r="S6" s="53"/>
      <c r="T6" s="53"/>
      <c r="U6" s="53"/>
      <c r="V6" s="53"/>
      <c r="W6" s="53"/>
      <c r="X6" s="53"/>
      <c r="Y6" s="53"/>
      <c r="Z6" s="53"/>
    </row>
    <row r="7" ht="18.75" customHeight="1">
      <c r="A7" s="58">
        <v>1.0</v>
      </c>
      <c r="B7" s="59" t="str">
        <f>'Member List'!C6</f>
        <v>Nguyễn Minh Thuận</v>
      </c>
      <c r="C7" s="48"/>
      <c r="D7" s="60">
        <f>IFERROR(AVERAGE(VLOOKUP(E7,'Sheet 1'!$B$3:$D$8,3,),VLOOKUP(F7,'Sheet 1'!$B$3:$D$8,3,),VLOOKUP(G7,'Sheet 1'!$B$3:$D$8,3,),VLOOKUP(H7,'Sheet 1'!$B$3:$D$8,3,),VLOOKUP(I7,'Sheet 1'!$B$3:$D$8,3,),VLOOKUP(J7,'Sheet 1'!$B$3:$D$8,3,)),0)</f>
        <v>1</v>
      </c>
      <c r="E7" s="61" t="s">
        <v>36</v>
      </c>
      <c r="F7" s="61" t="s">
        <v>36</v>
      </c>
      <c r="G7" s="61" t="s">
        <v>36</v>
      </c>
      <c r="H7" s="61" t="s">
        <v>36</v>
      </c>
      <c r="I7" s="61" t="s">
        <v>36</v>
      </c>
      <c r="J7" s="61" t="s">
        <v>36</v>
      </c>
      <c r="K7" s="36"/>
      <c r="L7" s="36"/>
      <c r="M7" s="36"/>
      <c r="N7" s="36"/>
      <c r="O7" s="36"/>
      <c r="P7" s="36"/>
      <c r="Q7" s="36"/>
      <c r="R7" s="36"/>
      <c r="S7" s="36"/>
      <c r="T7" s="36"/>
      <c r="U7" s="36"/>
      <c r="V7" s="36"/>
      <c r="W7" s="36"/>
      <c r="X7" s="36"/>
      <c r="Y7" s="36"/>
      <c r="Z7" s="36"/>
    </row>
    <row r="8" ht="18.75" customHeight="1">
      <c r="A8" s="54">
        <v>2.0</v>
      </c>
      <c r="B8" s="55" t="str">
        <f>'Member List'!C7</f>
        <v>Lương Nhật Quang</v>
      </c>
      <c r="C8" s="48"/>
      <c r="D8" s="56">
        <f>IFERROR(AVERAGE(VLOOKUP(E8,'Sheet 1'!$B$3:$D$8,3,),VLOOKUP(F8,'Sheet 1'!$B$3:$D$8,3,),VLOOKUP(G8,'Sheet 1'!$B$3:$D$8,3,),VLOOKUP(H8,'Sheet 1'!$B$3:$D$8,3,),VLOOKUP(I8,'Sheet 1'!$B$3:$D$8,3,),VLOOKUP(J8,'Sheet 1'!$B$3:$D$8,3,)),0)</f>
        <v>1</v>
      </c>
      <c r="E8" s="57" t="s">
        <v>36</v>
      </c>
      <c r="F8" s="57" t="s">
        <v>36</v>
      </c>
      <c r="G8" s="57" t="s">
        <v>36</v>
      </c>
      <c r="H8" s="57" t="s">
        <v>36</v>
      </c>
      <c r="I8" s="57" t="s">
        <v>36</v>
      </c>
      <c r="J8" s="57" t="s">
        <v>36</v>
      </c>
      <c r="K8" s="36"/>
      <c r="L8" s="62"/>
      <c r="M8" s="36"/>
      <c r="N8" s="36"/>
      <c r="O8" s="36"/>
      <c r="P8" s="36"/>
      <c r="Q8" s="36"/>
      <c r="R8" s="36"/>
      <c r="S8" s="36"/>
      <c r="T8" s="36"/>
      <c r="U8" s="36"/>
      <c r="V8" s="36"/>
      <c r="W8" s="36"/>
      <c r="X8" s="36"/>
      <c r="Y8" s="36"/>
      <c r="Z8" s="36"/>
    </row>
    <row r="9" ht="18.75" customHeight="1">
      <c r="A9" s="58">
        <v>3.0</v>
      </c>
      <c r="B9" s="59" t="str">
        <f>'Member List'!C8</f>
        <v>Trần Quý Huy</v>
      </c>
      <c r="C9" s="48"/>
      <c r="D9" s="60">
        <f>IFERROR(AVERAGE(VLOOKUP(E9,'Sheet 1'!$B$3:$D$8,3,),VLOOKUP(F9,'Sheet 1'!$B$3:$D$8,3,),VLOOKUP(G9,'Sheet 1'!$B$3:$D$8,3,),VLOOKUP(H9,'Sheet 1'!$B$3:$D$8,3,),VLOOKUP(I9,'Sheet 1'!$B$3:$D$8,3,),VLOOKUP(J9,'Sheet 1'!$B$3:$D$8,3,)),0)</f>
        <v>1</v>
      </c>
      <c r="E9" s="61" t="s">
        <v>36</v>
      </c>
      <c r="F9" s="61" t="s">
        <v>36</v>
      </c>
      <c r="G9" s="61" t="s">
        <v>36</v>
      </c>
      <c r="H9" s="61" t="s">
        <v>36</v>
      </c>
      <c r="I9" s="61" t="s">
        <v>36</v>
      </c>
      <c r="J9" s="61" t="s">
        <v>36</v>
      </c>
      <c r="K9" s="36"/>
      <c r="L9" s="62"/>
      <c r="M9" s="36"/>
      <c r="N9" s="36"/>
      <c r="O9" s="36"/>
      <c r="P9" s="36"/>
      <c r="Q9" s="36"/>
      <c r="R9" s="36"/>
      <c r="S9" s="36"/>
      <c r="T9" s="36"/>
      <c r="U9" s="36"/>
      <c r="V9" s="36"/>
      <c r="W9" s="36"/>
      <c r="X9" s="36"/>
      <c r="Y9" s="36"/>
      <c r="Z9" s="36"/>
    </row>
    <row r="10" ht="18.7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8.75" customHeight="1">
      <c r="A11" s="63" t="s">
        <v>37</v>
      </c>
      <c r="B11" s="48"/>
      <c r="C11" s="63" t="s">
        <v>36</v>
      </c>
      <c r="D11" s="48"/>
      <c r="E11" s="64" t="s">
        <v>38</v>
      </c>
      <c r="F11" s="64" t="s">
        <v>39</v>
      </c>
      <c r="G11" s="64" t="s">
        <v>40</v>
      </c>
      <c r="H11" s="64" t="s">
        <v>41</v>
      </c>
      <c r="I11" s="64" t="s">
        <v>42</v>
      </c>
      <c r="J11" s="36"/>
      <c r="K11" s="36"/>
      <c r="L11" s="36"/>
      <c r="M11" s="36"/>
      <c r="N11" s="36"/>
      <c r="O11" s="36"/>
      <c r="P11" s="36"/>
      <c r="Q11" s="36"/>
      <c r="R11" s="36"/>
      <c r="S11" s="36"/>
      <c r="T11" s="36"/>
      <c r="U11" s="36"/>
      <c r="V11" s="36"/>
      <c r="W11" s="36"/>
      <c r="X11" s="36"/>
      <c r="Y11" s="36"/>
      <c r="Z11" s="36"/>
    </row>
    <row r="12" ht="147.0" customHeight="1">
      <c r="A12" s="65" t="s">
        <v>30</v>
      </c>
      <c r="B12" s="48"/>
      <c r="C12" s="66" t="s">
        <v>43</v>
      </c>
      <c r="D12" s="48"/>
      <c r="E12" s="67" t="s">
        <v>44</v>
      </c>
      <c r="F12" s="67" t="s">
        <v>45</v>
      </c>
      <c r="G12" s="67" t="s">
        <v>46</v>
      </c>
      <c r="H12" s="67" t="s">
        <v>47</v>
      </c>
      <c r="I12" s="67" t="s">
        <v>48</v>
      </c>
      <c r="J12" s="36"/>
      <c r="K12" s="36"/>
      <c r="L12" s="36"/>
      <c r="M12" s="36"/>
      <c r="N12" s="36"/>
      <c r="O12" s="36"/>
      <c r="P12" s="36"/>
      <c r="Q12" s="36"/>
      <c r="R12" s="36"/>
      <c r="S12" s="36"/>
      <c r="T12" s="36"/>
      <c r="U12" s="36"/>
      <c r="V12" s="36"/>
      <c r="W12" s="36"/>
      <c r="X12" s="36"/>
      <c r="Y12" s="36"/>
      <c r="Z12" s="36"/>
    </row>
    <row r="13" ht="84.75" customHeight="1">
      <c r="A13" s="65" t="s">
        <v>31</v>
      </c>
      <c r="B13" s="48"/>
      <c r="C13" s="66" t="s">
        <v>49</v>
      </c>
      <c r="D13" s="48"/>
      <c r="E13" s="67" t="s">
        <v>50</v>
      </c>
      <c r="F13" s="67" t="s">
        <v>51</v>
      </c>
      <c r="G13" s="67" t="s">
        <v>52</v>
      </c>
      <c r="H13" s="67" t="s">
        <v>53</v>
      </c>
      <c r="I13" s="67" t="s">
        <v>48</v>
      </c>
      <c r="J13" s="36"/>
      <c r="K13" s="36"/>
      <c r="L13" s="36"/>
      <c r="M13" s="36"/>
      <c r="N13" s="36"/>
      <c r="O13" s="36"/>
      <c r="P13" s="36"/>
      <c r="Q13" s="36"/>
      <c r="R13" s="36"/>
      <c r="S13" s="36"/>
      <c r="T13" s="36"/>
      <c r="U13" s="36"/>
      <c r="V13" s="36"/>
      <c r="W13" s="36"/>
      <c r="X13" s="36"/>
      <c r="Y13" s="36"/>
      <c r="Z13" s="36"/>
    </row>
    <row r="14" ht="121.5" customHeight="1">
      <c r="A14" s="65" t="s">
        <v>54</v>
      </c>
      <c r="B14" s="48"/>
      <c r="C14" s="66" t="s">
        <v>55</v>
      </c>
      <c r="D14" s="48"/>
      <c r="E14" s="67" t="s">
        <v>56</v>
      </c>
      <c r="F14" s="67" t="s">
        <v>57</v>
      </c>
      <c r="G14" s="67" t="s">
        <v>58</v>
      </c>
      <c r="H14" s="67" t="s">
        <v>59</v>
      </c>
      <c r="I14" s="67" t="s">
        <v>60</v>
      </c>
      <c r="J14" s="36"/>
      <c r="K14" s="36"/>
      <c r="L14" s="36"/>
      <c r="M14" s="36"/>
      <c r="N14" s="36"/>
      <c r="O14" s="36"/>
      <c r="P14" s="36"/>
      <c r="Q14" s="36"/>
      <c r="R14" s="36"/>
      <c r="S14" s="36"/>
      <c r="T14" s="36"/>
      <c r="U14" s="36"/>
      <c r="V14" s="36"/>
      <c r="W14" s="36"/>
      <c r="X14" s="36"/>
      <c r="Y14" s="36"/>
      <c r="Z14" s="36"/>
    </row>
    <row r="15" ht="18.75" customHeight="1">
      <c r="A15" s="65" t="s">
        <v>33</v>
      </c>
      <c r="B15" s="48"/>
      <c r="C15" s="66" t="s">
        <v>61</v>
      </c>
      <c r="D15" s="48"/>
      <c r="E15" s="67" t="s">
        <v>62</v>
      </c>
      <c r="F15" s="67" t="s">
        <v>63</v>
      </c>
      <c r="G15" s="67" t="s">
        <v>64</v>
      </c>
      <c r="H15" s="67" t="s">
        <v>65</v>
      </c>
      <c r="I15" s="67" t="s">
        <v>60</v>
      </c>
      <c r="J15" s="36"/>
      <c r="K15" s="36"/>
      <c r="L15" s="36"/>
      <c r="M15" s="36"/>
      <c r="N15" s="36"/>
      <c r="O15" s="36"/>
      <c r="P15" s="36"/>
      <c r="Q15" s="36"/>
      <c r="R15" s="36"/>
      <c r="S15" s="36"/>
      <c r="T15" s="36"/>
      <c r="U15" s="36"/>
      <c r="V15" s="36"/>
      <c r="W15" s="36"/>
      <c r="X15" s="36"/>
      <c r="Y15" s="36"/>
      <c r="Z15" s="36"/>
    </row>
    <row r="16" ht="133.5" customHeight="1">
      <c r="A16" s="65" t="s">
        <v>34</v>
      </c>
      <c r="B16" s="48"/>
      <c r="C16" s="66" t="s">
        <v>66</v>
      </c>
      <c r="D16" s="48"/>
      <c r="E16" s="67" t="s">
        <v>67</v>
      </c>
      <c r="F16" s="67" t="s">
        <v>68</v>
      </c>
      <c r="G16" s="67" t="s">
        <v>69</v>
      </c>
      <c r="H16" s="67" t="s">
        <v>70</v>
      </c>
      <c r="I16" s="67" t="s">
        <v>60</v>
      </c>
      <c r="J16" s="36"/>
      <c r="K16" s="36"/>
      <c r="L16" s="36"/>
      <c r="M16" s="36"/>
      <c r="N16" s="36"/>
      <c r="O16" s="36"/>
      <c r="P16" s="36"/>
      <c r="Q16" s="36"/>
      <c r="R16" s="36"/>
      <c r="S16" s="36"/>
      <c r="T16" s="36"/>
      <c r="U16" s="36"/>
      <c r="V16" s="36"/>
      <c r="W16" s="36"/>
      <c r="X16" s="36"/>
      <c r="Y16" s="36"/>
      <c r="Z16" s="36"/>
    </row>
    <row r="17" ht="134.25" customHeight="1">
      <c r="A17" s="65" t="s">
        <v>35</v>
      </c>
      <c r="B17" s="48"/>
      <c r="C17" s="66" t="s">
        <v>71</v>
      </c>
      <c r="D17" s="48"/>
      <c r="E17" s="67" t="s">
        <v>72</v>
      </c>
      <c r="F17" s="67" t="s">
        <v>73</v>
      </c>
      <c r="G17" s="67" t="s">
        <v>74</v>
      </c>
      <c r="H17" s="67" t="s">
        <v>75</v>
      </c>
      <c r="I17" s="67" t="s">
        <v>48</v>
      </c>
      <c r="J17" s="36"/>
      <c r="K17" s="36"/>
      <c r="L17" s="36"/>
      <c r="M17" s="36"/>
      <c r="N17" s="36"/>
      <c r="O17" s="36"/>
      <c r="P17" s="36"/>
      <c r="Q17" s="36"/>
      <c r="R17" s="36"/>
      <c r="S17" s="36"/>
      <c r="T17" s="36"/>
      <c r="U17" s="36"/>
      <c r="V17" s="36"/>
      <c r="W17" s="36"/>
      <c r="X17" s="36"/>
      <c r="Y17" s="36"/>
      <c r="Z17" s="36"/>
    </row>
    <row r="18" ht="18.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8.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8.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8.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8.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8.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8.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8.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8.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8.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8.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8.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8.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8.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8.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8.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8.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8.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8.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8.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8.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8.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8.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8.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8.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8.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8.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8.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8.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8.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8.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8.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8.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8.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8.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8.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8.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8.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8.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8.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8.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8.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8.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8.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8.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8.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8.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8.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8.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8.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8.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8.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8.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8.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8.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8.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8.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8.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8.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8.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8.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8.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8.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8.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8.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8.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8.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8.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8.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8.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8.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8.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8.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8.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8.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8.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8.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8.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8.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8.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8.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8.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8.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8.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8.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8.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8.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8.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8.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8.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8.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8.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8.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8.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8.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8.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8.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8.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8.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8.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8.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8.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8.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8.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8.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8.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8.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8.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8.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8.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8.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8.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8.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8.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8.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8.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8.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8.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8.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8.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8.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8.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8.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8.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8.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8.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8.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8.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8.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8.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8.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8.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8.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8.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8.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8.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8.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8.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8.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8.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8.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8.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8.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8.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8.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8.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8.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8.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8.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8.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8.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8.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8.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8.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8.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8.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8.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8.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8.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8.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8.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8.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8.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8.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8.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8.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8.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8.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8.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8.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8.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8.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8.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8.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8.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8.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8.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8.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8.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8.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8.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8.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8.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8.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8.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8.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8.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8.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8.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8.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8.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8.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8.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8.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8.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8.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8.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8.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8.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8.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8.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8.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8.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8.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8.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8.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8.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8.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8.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8.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8.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8.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8.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8.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8.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8.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8.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8.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8.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8.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8.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8.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8.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8.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8.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8.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8.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8.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8.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8.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8.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8.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8.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8.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8.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8.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8.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8.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8.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8.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8.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8.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8.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8.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8.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8.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8.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8.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8.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8.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8.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8.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8.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8.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8.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8.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8.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8.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8.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8.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8.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8.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8.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8.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8.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8.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8.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8.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8.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8.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8.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8.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8.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8.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8.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8.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8.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8.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8.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8.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8.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8.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8.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8.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8.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8.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8.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8.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8.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8.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8.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8.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8.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8.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8.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8.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8.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8.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8.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8.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8.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8.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8.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8.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8.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8.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8.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8.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8.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8.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8.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8.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8.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8.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8.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8.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8.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8.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8.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8.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8.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8.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8.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8.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8.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8.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8.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8.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8.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8.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8.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8.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8.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8.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8.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8.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8.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8.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8.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8.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8.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8.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8.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8.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8.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8.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8.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8.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8.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8.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8.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8.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8.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8.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8.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8.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8.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8.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8.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8.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8.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8.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8.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8.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8.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8.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8.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8.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8.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8.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8.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8.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8.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8.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8.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8.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8.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8.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8.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8.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8.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8.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8.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8.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8.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8.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8.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8.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8.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8.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8.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8.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8.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8.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8.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8.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8.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8.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8.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8.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8.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8.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8.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8.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8.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8.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8.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8.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8.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8.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8.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8.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8.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8.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8.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8.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8.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8.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8.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8.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8.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8.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8.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8.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8.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8.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8.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8.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8.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8.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8.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8.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8.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8.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8.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8.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8.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8.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8.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8.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8.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8.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8.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8.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8.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8.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8.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8.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8.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8.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8.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8.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8.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8.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8.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8.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8.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8.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8.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8.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8.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8.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8.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8.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8.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8.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8.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8.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8.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8.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8.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8.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8.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8.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8.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8.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8.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8.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8.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8.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8.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8.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8.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8.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8.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8.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8.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8.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8.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8.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8.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8.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8.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8.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8.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8.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8.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8.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8.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8.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8.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8.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8.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8.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8.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8.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8.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8.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8.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8.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8.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8.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8.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8.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8.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8.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8.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8.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8.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8.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8.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8.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8.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8.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8.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8.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8.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8.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8.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8.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8.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8.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8.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8.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8.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8.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8.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8.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8.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8.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8.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8.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8.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8.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8.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8.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8.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8.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8.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8.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8.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8.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8.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8.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8.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8.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8.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8.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8.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8.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8.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8.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8.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8.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8.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8.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8.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8.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8.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8.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8.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8.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8.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8.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8.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8.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8.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8.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8.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8.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8.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8.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8.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8.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8.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8.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8.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8.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8.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8.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8.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8.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8.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8.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8.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8.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8.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8.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8.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8.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8.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8.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8.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8.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8.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8.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8.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8.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8.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8.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8.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8.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8.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8.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8.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8.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8.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8.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8.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8.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8.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8.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8.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8.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8.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8.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8.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8.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8.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8.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8.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8.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8.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8.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8.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8.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8.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8.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8.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8.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8.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8.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8.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8.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8.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8.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8.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8.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8.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8.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8.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8.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8.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8.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8.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8.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8.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8.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8.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8.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8.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8.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8.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8.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8.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8.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8.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8.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8.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8.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8.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8.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8.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8.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8.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8.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8.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8.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8.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8.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8.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8.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8.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8.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8.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8.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8.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8.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8.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8.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8.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8.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8.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8.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8.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8.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8.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8.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8.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8.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8.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8.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8.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8.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8.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8.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8.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8.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8.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8.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8.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8.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8.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8.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8.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8.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8.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8.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8.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8.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8.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8.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8.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8.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8.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8.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8.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8.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8.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8.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8.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8.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8.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8.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8.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8.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8.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8.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8.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8.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8.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8.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8.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8.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8.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8.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8.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8.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8.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8.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8.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8.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8.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8.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8.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8.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8.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8.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8.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8.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8.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8.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8.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8.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8.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8.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8.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8.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8.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8.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8.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8.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8.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8.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8.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8.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8.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8.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8.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8.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8.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8.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8.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8.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8.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8.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8.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8.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8.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8.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8.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8.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8.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8.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8.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8.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8.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8.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8.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8.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8.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8.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8.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8.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8.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8.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8.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8.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8.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8.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8.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8.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8.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8.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8.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8.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8.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8.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8.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8.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8.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8.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8.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8.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8.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8.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8.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8.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8.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8.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8.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8.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8.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8.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8.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8.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8.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8.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8.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8.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8.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8.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8.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8.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8.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8.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8.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8.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8.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8.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8.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8.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8.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8.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8.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8.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8.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8.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8.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8.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8.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8.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8.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8.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8.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8.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8.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8.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8.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8.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8.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8.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8.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8.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8.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8.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8.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8.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8.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8.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8.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8.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8.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8.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8.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8.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8.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8.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8.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8.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8.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8.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8.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8.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8.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8.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8.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8.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8.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8.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8.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8.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8.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8.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8.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8.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8.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8.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8.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8.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8.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8.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8.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8.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8.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8.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8.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8.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8.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8.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8.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8.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8.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8.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8.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8.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8.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8.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8.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8.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8.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8.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8.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8.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8.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8.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8.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8.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8.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8.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8.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8.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8.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8.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8.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8.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8.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8.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8.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8.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8.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8.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8.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8.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8.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8.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8.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8.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8.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8.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8.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8.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8.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8.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8.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8.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8.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8.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8.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8.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8.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8.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8.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8.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8.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8.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8.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8.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8.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sheetData>
  <mergeCells count="23">
    <mergeCell ref="A1:J1"/>
    <mergeCell ref="C3:D3"/>
    <mergeCell ref="A5:A6"/>
    <mergeCell ref="B5:C6"/>
    <mergeCell ref="D5:D6"/>
    <mergeCell ref="E5:J5"/>
    <mergeCell ref="B7:C7"/>
    <mergeCell ref="A13:B13"/>
    <mergeCell ref="A14:B14"/>
    <mergeCell ref="A15:B15"/>
    <mergeCell ref="A16:B16"/>
    <mergeCell ref="A17:B17"/>
    <mergeCell ref="C14:D14"/>
    <mergeCell ref="C15:D15"/>
    <mergeCell ref="C16:D16"/>
    <mergeCell ref="C17:D17"/>
    <mergeCell ref="B8:C8"/>
    <mergeCell ref="B9:C9"/>
    <mergeCell ref="A11:B11"/>
    <mergeCell ref="C11:D11"/>
    <mergeCell ref="A12:B12"/>
    <mergeCell ref="C12:D12"/>
    <mergeCell ref="C13:D13"/>
  </mergeCells>
  <dataValidations>
    <dataValidation type="list" allowBlank="1" showErrorMessage="1" sqref="E7:J9">
      <formula1>'Sheet 1'!$B$3:$B$8</formula1>
    </dataValidation>
  </dataValidation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2.86"/>
    <col customWidth="1" min="3" max="4" width="15.71"/>
    <col customWidth="1" min="5" max="10" width="30.71"/>
    <col customWidth="1" min="11" max="13" width="15.71"/>
    <col customWidth="1" min="14" max="26" width="8.71"/>
  </cols>
  <sheetData>
    <row r="1" ht="27.0" customHeight="1">
      <c r="A1" s="35" t="s">
        <v>23</v>
      </c>
      <c r="B1" s="13"/>
      <c r="C1" s="13"/>
      <c r="D1" s="13"/>
      <c r="E1" s="13"/>
      <c r="F1" s="13"/>
      <c r="G1" s="13"/>
      <c r="H1" s="13"/>
      <c r="I1" s="13"/>
      <c r="J1" s="14"/>
      <c r="K1" s="36"/>
      <c r="L1" s="36"/>
      <c r="M1" s="36"/>
      <c r="N1" s="36"/>
      <c r="O1" s="36"/>
      <c r="P1" s="36"/>
      <c r="Q1" s="36"/>
      <c r="R1" s="36"/>
      <c r="S1" s="36"/>
      <c r="T1" s="36"/>
      <c r="U1" s="36"/>
      <c r="V1" s="36"/>
      <c r="W1" s="36"/>
      <c r="X1" s="36"/>
      <c r="Y1" s="36"/>
      <c r="Z1" s="36"/>
    </row>
    <row r="2" ht="18.75" customHeight="1">
      <c r="A2" s="36"/>
      <c r="B2" s="36"/>
      <c r="C2" s="36"/>
      <c r="D2" s="36"/>
      <c r="E2" s="36"/>
      <c r="F2" s="36"/>
      <c r="G2" s="36"/>
      <c r="H2" s="36"/>
      <c r="I2" s="36"/>
      <c r="J2" s="36"/>
      <c r="K2" s="36"/>
      <c r="L2" s="36"/>
      <c r="M2" s="36"/>
      <c r="N2" s="36"/>
      <c r="O2" s="36"/>
      <c r="P2" s="36"/>
      <c r="Q2" s="36"/>
      <c r="R2" s="36"/>
      <c r="S2" s="36"/>
      <c r="T2" s="36"/>
      <c r="U2" s="36"/>
      <c r="V2" s="36"/>
      <c r="W2" s="36"/>
      <c r="X2" s="36"/>
      <c r="Y2" s="36"/>
      <c r="Z2" s="36"/>
    </row>
    <row r="3" ht="18.75" customHeight="1">
      <c r="A3" s="36"/>
      <c r="B3" s="37" t="s">
        <v>24</v>
      </c>
      <c r="C3" s="38" t="s">
        <v>25</v>
      </c>
      <c r="D3" s="9"/>
      <c r="E3" s="39"/>
      <c r="F3" s="36"/>
      <c r="G3" s="37"/>
      <c r="H3" s="40"/>
      <c r="I3" s="40"/>
      <c r="J3" s="41"/>
      <c r="K3" s="42"/>
      <c r="L3" s="42"/>
      <c r="M3" s="42"/>
      <c r="N3" s="36"/>
      <c r="O3" s="36"/>
      <c r="P3" s="36"/>
      <c r="Q3" s="36"/>
      <c r="R3" s="36"/>
      <c r="S3" s="36"/>
      <c r="T3" s="36"/>
      <c r="U3" s="36"/>
      <c r="V3" s="36"/>
      <c r="W3" s="36"/>
      <c r="X3" s="36"/>
      <c r="Y3" s="36"/>
      <c r="Z3" s="36"/>
    </row>
    <row r="4" ht="18.75" customHeight="1">
      <c r="A4" s="36"/>
      <c r="B4" s="36"/>
      <c r="C4" s="36"/>
      <c r="D4" s="36"/>
      <c r="E4" s="36"/>
      <c r="F4" s="36"/>
      <c r="G4" s="36"/>
      <c r="H4" s="36"/>
      <c r="I4" s="36"/>
      <c r="J4" s="36"/>
      <c r="K4" s="36"/>
      <c r="L4" s="36"/>
      <c r="M4" s="36"/>
      <c r="N4" s="36"/>
      <c r="O4" s="36"/>
      <c r="P4" s="36"/>
      <c r="Q4" s="36"/>
      <c r="R4" s="36"/>
      <c r="S4" s="36"/>
      <c r="T4" s="36"/>
      <c r="U4" s="36"/>
      <c r="V4" s="36"/>
      <c r="W4" s="36"/>
      <c r="X4" s="36"/>
      <c r="Y4" s="36"/>
      <c r="Z4" s="36"/>
    </row>
    <row r="5" ht="18.75" customHeight="1">
      <c r="A5" s="43" t="s">
        <v>26</v>
      </c>
      <c r="B5" s="44" t="s">
        <v>27</v>
      </c>
      <c r="C5" s="45"/>
      <c r="D5" s="43" t="s">
        <v>28</v>
      </c>
      <c r="E5" s="46" t="s">
        <v>29</v>
      </c>
      <c r="F5" s="47"/>
      <c r="G5" s="47"/>
      <c r="H5" s="47"/>
      <c r="I5" s="47"/>
      <c r="J5" s="48"/>
      <c r="K5" s="36"/>
      <c r="L5" s="36"/>
      <c r="M5" s="36"/>
      <c r="N5" s="36"/>
      <c r="O5" s="36"/>
      <c r="P5" s="36"/>
      <c r="Q5" s="36"/>
      <c r="R5" s="36"/>
      <c r="S5" s="36"/>
      <c r="T5" s="36"/>
      <c r="U5" s="36"/>
      <c r="V5" s="36"/>
      <c r="W5" s="36"/>
      <c r="X5" s="36"/>
      <c r="Y5" s="36"/>
      <c r="Z5" s="36"/>
    </row>
    <row r="6" ht="30.0" customHeight="1">
      <c r="A6" s="49"/>
      <c r="B6" s="50"/>
      <c r="C6" s="51"/>
      <c r="D6" s="49"/>
      <c r="E6" s="52" t="s">
        <v>30</v>
      </c>
      <c r="F6" s="52" t="s">
        <v>31</v>
      </c>
      <c r="G6" s="52" t="s">
        <v>32</v>
      </c>
      <c r="H6" s="52" t="s">
        <v>33</v>
      </c>
      <c r="I6" s="52" t="s">
        <v>34</v>
      </c>
      <c r="J6" s="52" t="s">
        <v>35</v>
      </c>
      <c r="K6" s="53"/>
      <c r="L6" s="53"/>
      <c r="M6" s="53"/>
      <c r="N6" s="53"/>
      <c r="O6" s="53"/>
      <c r="P6" s="53"/>
      <c r="Q6" s="53"/>
      <c r="R6" s="53"/>
      <c r="S6" s="53"/>
      <c r="T6" s="53"/>
      <c r="U6" s="53"/>
      <c r="V6" s="53"/>
      <c r="W6" s="53"/>
      <c r="X6" s="53"/>
      <c r="Y6" s="53"/>
      <c r="Z6" s="53"/>
    </row>
    <row r="7" ht="18.75" customHeight="1">
      <c r="A7" s="58">
        <v>1.0</v>
      </c>
      <c r="B7" s="59" t="str">
        <f>'Member List'!C6</f>
        <v>Nguyễn Minh Thuận</v>
      </c>
      <c r="C7" s="48"/>
      <c r="D7" s="60">
        <f>IFERROR(AVERAGE(VLOOKUP(E7,'Sheet 1'!$B$3:$D$8,3,),VLOOKUP(F7,'Sheet 1'!$B$3:$D$8,3,),VLOOKUP(G7,'Sheet 1'!$B$3:$D$8,3,),VLOOKUP(H7,'Sheet 1'!$B$3:$D$8,3,),VLOOKUP(I7,'Sheet 1'!$B$3:$D$8,3,),VLOOKUP(J7,'Sheet 1'!$B$3:$D$8,3,)),0)</f>
        <v>1</v>
      </c>
      <c r="E7" s="61" t="s">
        <v>36</v>
      </c>
      <c r="F7" s="61" t="s">
        <v>36</v>
      </c>
      <c r="G7" s="61" t="s">
        <v>36</v>
      </c>
      <c r="H7" s="61" t="s">
        <v>36</v>
      </c>
      <c r="I7" s="61" t="s">
        <v>36</v>
      </c>
      <c r="J7" s="61" t="s">
        <v>36</v>
      </c>
      <c r="K7" s="36"/>
      <c r="L7" s="36"/>
      <c r="M7" s="36"/>
      <c r="N7" s="36"/>
      <c r="O7" s="36"/>
      <c r="P7" s="36"/>
      <c r="Q7" s="36"/>
      <c r="R7" s="36"/>
      <c r="S7" s="36"/>
      <c r="T7" s="36"/>
      <c r="U7" s="36"/>
      <c r="V7" s="36"/>
      <c r="W7" s="36"/>
      <c r="X7" s="36"/>
      <c r="Y7" s="36"/>
      <c r="Z7" s="36"/>
    </row>
    <row r="8" ht="18.75" customHeight="1">
      <c r="A8" s="58">
        <v>2.0</v>
      </c>
      <c r="B8" s="59" t="str">
        <f>'Member List'!C7</f>
        <v>Lương Nhật Quang</v>
      </c>
      <c r="C8" s="48"/>
      <c r="D8" s="60">
        <f>IFERROR(AVERAGE(VLOOKUP(E8,'Sheet 1'!$B$3:$D$8,3,),VLOOKUP(F8,'Sheet 1'!$B$3:$D$8,3,),VLOOKUP(G8,'Sheet 1'!$B$3:$D$8,3,),VLOOKUP(H8,'Sheet 1'!$B$3:$D$8,3,),VLOOKUP(I8,'Sheet 1'!$B$3:$D$8,3,),VLOOKUP(J8,'Sheet 1'!$B$3:$D$8,3,)),0)</f>
        <v>1</v>
      </c>
      <c r="E8" s="61" t="s">
        <v>36</v>
      </c>
      <c r="F8" s="61" t="s">
        <v>36</v>
      </c>
      <c r="G8" s="61" t="s">
        <v>36</v>
      </c>
      <c r="H8" s="61" t="s">
        <v>36</v>
      </c>
      <c r="I8" s="61" t="s">
        <v>36</v>
      </c>
      <c r="J8" s="61" t="s">
        <v>36</v>
      </c>
      <c r="K8" s="36"/>
      <c r="L8" s="62"/>
      <c r="M8" s="36"/>
      <c r="N8" s="36"/>
      <c r="O8" s="36"/>
      <c r="P8" s="36"/>
      <c r="Q8" s="36"/>
      <c r="R8" s="36"/>
      <c r="S8" s="36"/>
      <c r="T8" s="36"/>
      <c r="U8" s="36"/>
      <c r="V8" s="36"/>
      <c r="W8" s="36"/>
      <c r="X8" s="36"/>
      <c r="Y8" s="36"/>
      <c r="Z8" s="36"/>
    </row>
    <row r="9" ht="18.75" customHeight="1">
      <c r="A9" s="54">
        <v>3.0</v>
      </c>
      <c r="B9" s="55" t="str">
        <f>'Member List'!C8</f>
        <v>Trần Quý Huy</v>
      </c>
      <c r="C9" s="48"/>
      <c r="D9" s="56">
        <f>IFERROR(AVERAGE(VLOOKUP(E9,'Sheet 1'!$B$3:$D$8,3,),VLOOKUP(F9,'Sheet 1'!$B$3:$D$8,3,),VLOOKUP(G9,'Sheet 1'!$B$3:$D$8,3,),VLOOKUP(H9,'Sheet 1'!$B$3:$D$8,3,),VLOOKUP(I9,'Sheet 1'!$B$3:$D$8,3,),VLOOKUP(J9,'Sheet 1'!$B$3:$D$8,3,)),0)</f>
        <v>1</v>
      </c>
      <c r="E9" s="57" t="s">
        <v>36</v>
      </c>
      <c r="F9" s="57" t="s">
        <v>36</v>
      </c>
      <c r="G9" s="57" t="s">
        <v>36</v>
      </c>
      <c r="H9" s="57" t="s">
        <v>36</v>
      </c>
      <c r="I9" s="57" t="s">
        <v>36</v>
      </c>
      <c r="J9" s="57" t="s">
        <v>36</v>
      </c>
      <c r="K9" s="36"/>
      <c r="L9" s="62"/>
      <c r="M9" s="36"/>
      <c r="N9" s="36"/>
      <c r="O9" s="36"/>
      <c r="P9" s="36"/>
      <c r="Q9" s="36"/>
      <c r="R9" s="36"/>
      <c r="S9" s="36"/>
      <c r="T9" s="36"/>
      <c r="U9" s="36"/>
      <c r="V9" s="36"/>
      <c r="W9" s="36"/>
      <c r="X9" s="36"/>
      <c r="Y9" s="36"/>
      <c r="Z9" s="36"/>
    </row>
    <row r="10" ht="18.7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8.75" customHeight="1">
      <c r="A11" s="63" t="s">
        <v>37</v>
      </c>
      <c r="B11" s="48"/>
      <c r="C11" s="63" t="s">
        <v>36</v>
      </c>
      <c r="D11" s="48"/>
      <c r="E11" s="64" t="s">
        <v>38</v>
      </c>
      <c r="F11" s="64" t="s">
        <v>39</v>
      </c>
      <c r="G11" s="64" t="s">
        <v>40</v>
      </c>
      <c r="H11" s="64" t="s">
        <v>41</v>
      </c>
      <c r="I11" s="64" t="s">
        <v>42</v>
      </c>
      <c r="J11" s="36"/>
      <c r="K11" s="36"/>
      <c r="L11" s="36"/>
      <c r="M11" s="36"/>
      <c r="N11" s="36"/>
      <c r="O11" s="36"/>
      <c r="P11" s="36"/>
      <c r="Q11" s="36"/>
      <c r="R11" s="36"/>
      <c r="S11" s="36"/>
      <c r="T11" s="36"/>
      <c r="U11" s="36"/>
      <c r="V11" s="36"/>
      <c r="W11" s="36"/>
      <c r="X11" s="36"/>
      <c r="Y11" s="36"/>
      <c r="Z11" s="36"/>
    </row>
    <row r="12" ht="147.0" customHeight="1">
      <c r="A12" s="65" t="s">
        <v>30</v>
      </c>
      <c r="B12" s="48"/>
      <c r="C12" s="66" t="s">
        <v>43</v>
      </c>
      <c r="D12" s="48"/>
      <c r="E12" s="67" t="s">
        <v>44</v>
      </c>
      <c r="F12" s="67" t="s">
        <v>45</v>
      </c>
      <c r="G12" s="67" t="s">
        <v>46</v>
      </c>
      <c r="H12" s="67" t="s">
        <v>47</v>
      </c>
      <c r="I12" s="67" t="s">
        <v>48</v>
      </c>
      <c r="J12" s="36"/>
      <c r="K12" s="36"/>
      <c r="L12" s="36"/>
      <c r="M12" s="36"/>
      <c r="N12" s="36"/>
      <c r="O12" s="36"/>
      <c r="P12" s="36"/>
      <c r="Q12" s="36"/>
      <c r="R12" s="36"/>
      <c r="S12" s="36"/>
      <c r="T12" s="36"/>
      <c r="U12" s="36"/>
      <c r="V12" s="36"/>
      <c r="W12" s="36"/>
      <c r="X12" s="36"/>
      <c r="Y12" s="36"/>
      <c r="Z12" s="36"/>
    </row>
    <row r="13" ht="84.75" customHeight="1">
      <c r="A13" s="65" t="s">
        <v>31</v>
      </c>
      <c r="B13" s="48"/>
      <c r="C13" s="66" t="s">
        <v>49</v>
      </c>
      <c r="D13" s="48"/>
      <c r="E13" s="67" t="s">
        <v>50</v>
      </c>
      <c r="F13" s="67" t="s">
        <v>51</v>
      </c>
      <c r="G13" s="67" t="s">
        <v>52</v>
      </c>
      <c r="H13" s="67" t="s">
        <v>53</v>
      </c>
      <c r="I13" s="67" t="s">
        <v>48</v>
      </c>
      <c r="J13" s="36"/>
      <c r="K13" s="36"/>
      <c r="L13" s="36"/>
      <c r="M13" s="36"/>
      <c r="N13" s="36"/>
      <c r="O13" s="36"/>
      <c r="P13" s="36"/>
      <c r="Q13" s="36"/>
      <c r="R13" s="36"/>
      <c r="S13" s="36"/>
      <c r="T13" s="36"/>
      <c r="U13" s="36"/>
      <c r="V13" s="36"/>
      <c r="W13" s="36"/>
      <c r="X13" s="36"/>
      <c r="Y13" s="36"/>
      <c r="Z13" s="36"/>
    </row>
    <row r="14" ht="121.5" customHeight="1">
      <c r="A14" s="65" t="s">
        <v>54</v>
      </c>
      <c r="B14" s="48"/>
      <c r="C14" s="66" t="s">
        <v>55</v>
      </c>
      <c r="D14" s="48"/>
      <c r="E14" s="67" t="s">
        <v>56</v>
      </c>
      <c r="F14" s="67" t="s">
        <v>57</v>
      </c>
      <c r="G14" s="67" t="s">
        <v>58</v>
      </c>
      <c r="H14" s="67" t="s">
        <v>59</v>
      </c>
      <c r="I14" s="67" t="s">
        <v>60</v>
      </c>
      <c r="J14" s="36"/>
      <c r="K14" s="36"/>
      <c r="L14" s="36"/>
      <c r="M14" s="36"/>
      <c r="N14" s="36"/>
      <c r="O14" s="36"/>
      <c r="P14" s="36"/>
      <c r="Q14" s="36"/>
      <c r="R14" s="36"/>
      <c r="S14" s="36"/>
      <c r="T14" s="36"/>
      <c r="U14" s="36"/>
      <c r="V14" s="36"/>
      <c r="W14" s="36"/>
      <c r="X14" s="36"/>
      <c r="Y14" s="36"/>
      <c r="Z14" s="36"/>
    </row>
    <row r="15" ht="18.75" customHeight="1">
      <c r="A15" s="65" t="s">
        <v>33</v>
      </c>
      <c r="B15" s="48"/>
      <c r="C15" s="66" t="s">
        <v>61</v>
      </c>
      <c r="D15" s="48"/>
      <c r="E15" s="67" t="s">
        <v>62</v>
      </c>
      <c r="F15" s="67" t="s">
        <v>63</v>
      </c>
      <c r="G15" s="67" t="s">
        <v>64</v>
      </c>
      <c r="H15" s="67" t="s">
        <v>65</v>
      </c>
      <c r="I15" s="67" t="s">
        <v>60</v>
      </c>
      <c r="J15" s="36"/>
      <c r="K15" s="36"/>
      <c r="L15" s="36"/>
      <c r="M15" s="36"/>
      <c r="N15" s="36"/>
      <c r="O15" s="36"/>
      <c r="P15" s="36"/>
      <c r="Q15" s="36"/>
      <c r="R15" s="36"/>
      <c r="S15" s="36"/>
      <c r="T15" s="36"/>
      <c r="U15" s="36"/>
      <c r="V15" s="36"/>
      <c r="W15" s="36"/>
      <c r="X15" s="36"/>
      <c r="Y15" s="36"/>
      <c r="Z15" s="36"/>
    </row>
    <row r="16" ht="133.5" customHeight="1">
      <c r="A16" s="65" t="s">
        <v>34</v>
      </c>
      <c r="B16" s="48"/>
      <c r="C16" s="66" t="s">
        <v>66</v>
      </c>
      <c r="D16" s="48"/>
      <c r="E16" s="67" t="s">
        <v>67</v>
      </c>
      <c r="F16" s="67" t="s">
        <v>68</v>
      </c>
      <c r="G16" s="67" t="s">
        <v>69</v>
      </c>
      <c r="H16" s="67" t="s">
        <v>70</v>
      </c>
      <c r="I16" s="67" t="s">
        <v>60</v>
      </c>
      <c r="J16" s="36"/>
      <c r="K16" s="36"/>
      <c r="L16" s="36"/>
      <c r="M16" s="36"/>
      <c r="N16" s="36"/>
      <c r="O16" s="36"/>
      <c r="P16" s="36"/>
      <c r="Q16" s="36"/>
      <c r="R16" s="36"/>
      <c r="S16" s="36"/>
      <c r="T16" s="36"/>
      <c r="U16" s="36"/>
      <c r="V16" s="36"/>
      <c r="W16" s="36"/>
      <c r="X16" s="36"/>
      <c r="Y16" s="36"/>
      <c r="Z16" s="36"/>
    </row>
    <row r="17" ht="134.25" customHeight="1">
      <c r="A17" s="65" t="s">
        <v>35</v>
      </c>
      <c r="B17" s="48"/>
      <c r="C17" s="66" t="s">
        <v>71</v>
      </c>
      <c r="D17" s="48"/>
      <c r="E17" s="67" t="s">
        <v>72</v>
      </c>
      <c r="F17" s="67" t="s">
        <v>73</v>
      </c>
      <c r="G17" s="67" t="s">
        <v>74</v>
      </c>
      <c r="H17" s="67" t="s">
        <v>75</v>
      </c>
      <c r="I17" s="67" t="s">
        <v>48</v>
      </c>
      <c r="J17" s="36"/>
      <c r="K17" s="36"/>
      <c r="L17" s="36"/>
      <c r="M17" s="36"/>
      <c r="N17" s="36"/>
      <c r="O17" s="36"/>
      <c r="P17" s="36"/>
      <c r="Q17" s="36"/>
      <c r="R17" s="36"/>
      <c r="S17" s="36"/>
      <c r="T17" s="36"/>
      <c r="U17" s="36"/>
      <c r="V17" s="36"/>
      <c r="W17" s="36"/>
      <c r="X17" s="36"/>
      <c r="Y17" s="36"/>
      <c r="Z17" s="36"/>
    </row>
    <row r="18" ht="18.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8.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8.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8.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8.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8.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8.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8.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8.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8.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8.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8.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8.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8.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8.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8.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8.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8.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8.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8.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8.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8.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8.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8.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8.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8.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8.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8.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8.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8.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8.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8.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8.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8.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8.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8.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8.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8.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8.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8.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8.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8.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8.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8.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8.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8.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8.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8.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8.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8.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8.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8.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8.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8.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8.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8.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8.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8.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8.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8.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8.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8.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8.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8.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8.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8.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8.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8.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8.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8.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8.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8.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8.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8.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8.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8.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8.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8.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8.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8.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8.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8.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8.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8.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8.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8.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8.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8.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8.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8.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8.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8.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8.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8.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8.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8.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8.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8.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8.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8.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8.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8.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8.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8.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8.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8.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8.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8.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8.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8.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8.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8.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8.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8.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8.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8.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8.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8.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8.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8.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8.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8.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8.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8.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8.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8.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8.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8.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8.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8.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8.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8.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8.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8.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8.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8.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8.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8.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8.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8.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8.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8.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8.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8.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8.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8.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8.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8.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8.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8.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8.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8.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8.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8.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8.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8.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8.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8.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8.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8.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8.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8.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8.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8.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8.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8.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8.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8.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8.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8.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8.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8.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8.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8.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8.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8.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8.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8.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8.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8.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8.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8.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8.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8.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8.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8.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8.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8.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8.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8.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8.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8.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8.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8.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8.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8.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8.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8.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8.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8.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8.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8.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8.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8.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8.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8.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8.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8.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8.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8.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8.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8.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8.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8.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8.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8.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8.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8.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8.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8.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8.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8.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8.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8.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8.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8.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8.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8.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8.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8.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8.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8.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8.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8.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8.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8.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8.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8.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8.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8.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8.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8.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8.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8.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8.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8.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8.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8.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8.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8.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8.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8.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8.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8.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8.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8.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8.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8.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8.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8.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8.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8.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8.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8.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8.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8.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8.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8.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8.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8.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8.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8.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8.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8.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8.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8.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8.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8.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8.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8.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8.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8.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8.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8.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8.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8.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8.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8.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8.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8.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8.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8.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8.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8.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8.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8.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8.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8.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8.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8.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8.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8.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8.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8.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8.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8.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8.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8.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8.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8.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8.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8.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8.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8.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8.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8.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8.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8.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8.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8.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8.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8.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8.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8.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8.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8.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8.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8.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8.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8.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8.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8.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8.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8.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8.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8.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8.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8.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8.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8.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8.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8.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8.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8.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8.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8.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8.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8.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8.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8.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8.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8.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8.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8.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8.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8.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8.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8.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8.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8.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8.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8.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8.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8.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8.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8.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8.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8.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8.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8.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8.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8.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8.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8.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8.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8.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8.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8.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8.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8.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8.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8.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8.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8.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8.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8.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8.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8.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8.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8.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8.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8.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8.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8.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8.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8.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8.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8.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8.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8.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8.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8.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8.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8.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8.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8.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8.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8.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8.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8.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8.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8.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8.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8.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8.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8.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8.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8.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8.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8.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8.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8.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8.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8.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8.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8.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8.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8.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8.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8.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8.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8.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8.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8.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8.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8.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8.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8.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8.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8.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8.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8.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8.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8.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8.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8.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8.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8.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8.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8.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8.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8.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8.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8.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8.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8.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8.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8.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8.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8.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8.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8.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8.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8.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8.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8.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8.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8.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8.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8.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8.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8.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8.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8.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8.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8.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8.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8.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8.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8.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8.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8.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8.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8.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8.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8.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8.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8.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8.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8.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8.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8.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8.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8.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8.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8.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8.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8.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8.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8.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8.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8.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8.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8.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8.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8.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8.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8.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8.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8.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8.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8.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8.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8.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8.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8.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8.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8.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8.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8.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8.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8.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8.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8.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8.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8.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8.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8.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8.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8.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8.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8.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8.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8.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8.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8.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8.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8.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8.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8.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8.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8.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8.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8.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8.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8.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8.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8.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8.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8.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8.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8.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8.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8.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8.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8.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8.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8.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8.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8.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8.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8.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8.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8.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8.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8.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8.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8.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8.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8.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8.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8.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8.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8.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8.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8.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8.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8.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8.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8.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8.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8.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8.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8.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8.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8.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8.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8.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8.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8.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8.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8.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8.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8.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8.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8.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8.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8.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8.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8.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8.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8.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8.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8.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8.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8.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8.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8.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8.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8.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8.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8.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8.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8.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8.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8.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8.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8.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8.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8.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8.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8.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8.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8.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8.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8.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8.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8.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8.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8.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8.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8.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8.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8.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8.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8.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8.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8.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8.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8.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8.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8.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8.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8.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8.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8.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8.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8.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8.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8.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8.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8.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8.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8.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8.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8.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8.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8.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8.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8.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8.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8.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8.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8.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8.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8.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8.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8.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8.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8.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8.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8.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8.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8.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8.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8.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8.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8.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8.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8.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8.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8.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8.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8.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8.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8.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8.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8.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8.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8.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8.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8.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8.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8.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8.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8.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8.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8.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8.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8.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8.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8.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8.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8.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8.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8.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8.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8.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8.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8.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8.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8.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8.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8.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8.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8.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8.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8.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8.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8.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8.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8.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8.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8.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8.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8.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8.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8.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8.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8.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8.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8.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8.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8.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8.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8.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8.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8.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8.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8.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8.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8.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8.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8.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8.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8.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8.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8.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8.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8.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8.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8.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8.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8.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8.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8.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8.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8.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8.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8.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8.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8.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8.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8.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8.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8.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8.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8.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8.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8.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8.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8.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8.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8.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8.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8.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8.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8.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8.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8.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8.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8.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8.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8.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8.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8.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8.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8.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8.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8.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8.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8.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8.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8.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8.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8.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8.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8.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8.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8.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8.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8.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8.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8.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8.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8.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8.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8.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8.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8.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8.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8.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8.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8.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8.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8.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8.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8.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8.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8.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8.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8.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8.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8.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8.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8.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8.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8.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8.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8.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8.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8.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8.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8.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8.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8.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8.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8.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8.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8.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8.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8.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8.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8.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8.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8.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8.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8.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8.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8.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8.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8.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8.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8.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8.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8.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8.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8.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8.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8.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8.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8.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8.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8.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8.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8.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8.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8.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8.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8.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8.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8.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8.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8.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8.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8.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8.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8.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8.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8.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8.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8.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8.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8.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8.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8.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8.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8.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8.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8.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8.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8.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8.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8.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8.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8.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8.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8.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8.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8.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8.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8.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8.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8.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8.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8.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8.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8.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8.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8.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8.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8.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8.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8.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8.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8.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8.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8.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8.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8.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8.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8.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8.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8.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8.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8.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8.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8.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8.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8.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8.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8.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8.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8.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8.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8.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8.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8.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8.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8.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8.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8.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8.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8.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8.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8.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8.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8.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8.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8.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8.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8.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8.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8.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8.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8.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8.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8.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8.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8.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8.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8.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8.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8.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8.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8.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8.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8.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8.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8.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8.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8.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8.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8.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8.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8.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8.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8.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8.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sheetData>
  <mergeCells count="23">
    <mergeCell ref="A1:J1"/>
    <mergeCell ref="C3:D3"/>
    <mergeCell ref="A5:A6"/>
    <mergeCell ref="B5:C6"/>
    <mergeCell ref="D5:D6"/>
    <mergeCell ref="E5:J5"/>
    <mergeCell ref="B7:C7"/>
    <mergeCell ref="A13:B13"/>
    <mergeCell ref="A14:B14"/>
    <mergeCell ref="A15:B15"/>
    <mergeCell ref="A16:B16"/>
    <mergeCell ref="A17:B17"/>
    <mergeCell ref="C14:D14"/>
    <mergeCell ref="C15:D15"/>
    <mergeCell ref="C16:D16"/>
    <mergeCell ref="C17:D17"/>
    <mergeCell ref="B8:C8"/>
    <mergeCell ref="B9:C9"/>
    <mergeCell ref="A11:B11"/>
    <mergeCell ref="C11:D11"/>
    <mergeCell ref="A12:B12"/>
    <mergeCell ref="C12:D12"/>
    <mergeCell ref="C13:D13"/>
  </mergeCells>
  <dataValidations>
    <dataValidation type="list" allowBlank="1" showErrorMessage="1" sqref="E7:J9">
      <formula1>'Sheet 1'!$B$3:$B$8</formula1>
    </dataValidation>
  </dataValidations>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86"/>
    <col customWidth="1" min="3" max="26" width="8.71"/>
  </cols>
  <sheetData>
    <row r="3">
      <c r="B3" s="68" t="s">
        <v>36</v>
      </c>
      <c r="C3" s="68">
        <v>5.0</v>
      </c>
      <c r="D3" s="69">
        <v>1.0</v>
      </c>
    </row>
    <row r="4">
      <c r="B4" s="68" t="s">
        <v>38</v>
      </c>
      <c r="C4" s="68">
        <v>4.0</v>
      </c>
      <c r="D4" s="69">
        <v>0.9</v>
      </c>
    </row>
    <row r="5">
      <c r="B5" s="68" t="s">
        <v>39</v>
      </c>
      <c r="C5" s="68">
        <v>3.0</v>
      </c>
      <c r="D5" s="69">
        <v>0.75</v>
      </c>
    </row>
    <row r="6">
      <c r="B6" s="68" t="s">
        <v>40</v>
      </c>
      <c r="C6" s="68">
        <v>2.0</v>
      </c>
      <c r="D6" s="69">
        <v>0.5</v>
      </c>
    </row>
    <row r="7">
      <c r="B7" s="68" t="s">
        <v>41</v>
      </c>
      <c r="C7" s="68">
        <v>1.0</v>
      </c>
      <c r="D7" s="69">
        <v>0.25</v>
      </c>
    </row>
    <row r="8">
      <c r="B8" s="68" t="s">
        <v>42</v>
      </c>
      <c r="C8" s="68">
        <v>0.0</v>
      </c>
      <c r="D8" s="69">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730FC1B45269464FA53C9F68B7DF5FF7" ma:contentTypeVersion="4" ma:contentTypeDescription="Tạo tài liệu mới." ma:contentTypeScope="" ma:versionID="53647a2f1ea3bcf31139a359da70b5ec">
  <xsd:schema xmlns:xsd="http://www.w3.org/2001/XMLSchema" xmlns:xs="http://www.w3.org/2001/XMLSchema" xmlns:p="http://schemas.microsoft.com/office/2006/metadata/properties" xmlns:ns2="f29ecbc4-4c8e-4a24-9b12-fddfd4ec87a1" targetNamespace="http://schemas.microsoft.com/office/2006/metadata/properties" ma:root="true" ma:fieldsID="ba842e4691acbf0d08974cd12bd6a7fe" ns2:_="">
    <xsd:import namespace="f29ecbc4-4c8e-4a24-9b12-fddfd4ec8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ecbc4-4c8e-4a24-9b12-fddfd4ec87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9D2C82-087F-4A66-87FB-AE26DFD00DF4}"/>
</file>

<file path=customXml/itemProps2.xml><?xml version="1.0" encoding="utf-8"?>
<ds:datastoreItem xmlns:ds="http://schemas.openxmlformats.org/officeDocument/2006/customXml" ds:itemID="{99D98A59-8602-46EE-A71B-38D6F50E7E28}"/>
</file>

<file path=customXml/itemProps3.xml><?xml version="1.0" encoding="utf-8"?>
<ds:datastoreItem xmlns:ds="http://schemas.openxmlformats.org/officeDocument/2006/customXml" ds:itemID="{0392E9A8-A58D-46AB-82DA-4E9194EECB37}"/>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Phan</dc:creator>
  <dcterms:created xsi:type="dcterms:W3CDTF">2018-09-21T20:52:39Z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0x010100730FC1B45269464FA53C9F68B7DF5FF7</vt:lpwstr>
  </property>
</Properties>
</file>